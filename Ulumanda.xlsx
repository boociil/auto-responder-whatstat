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A68850F8-DE6E-3A44-AB09-E386FCD3245B}" xr6:coauthVersionLast="47" xr6:coauthVersionMax="47" xr10:uidLastSave="{00000000-0000-0000-0000-000000000000}"/>
  <bookViews>
    <workbookView xWindow="5580" yWindow="3920" windowWidth="27640" windowHeight="16940" xr2:uid="{06E8286E-C928-504D-BE23-9EC1D36350E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1" l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<sst xmlns="http://schemas.openxmlformats.org/spreadsheetml/2006/main" count="362" uniqueCount="182">
  <si>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</si>
  <si>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</si>
  <si>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</si>
  <si>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</si>
  <si>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</si>
  <si>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</si>
  <si>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</si>
  <si>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</si>
  <si>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</si>
  <si>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</si>
  <si>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</si>
  <si>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</si>
  <si>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</si>
  <si>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</si>
  <si>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</si>
  <si>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</si>
  <si>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</si>
  <si>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Administrasi</t>
  </si>
  <si>
    <t>Catatan</t>
  </si>
  <si>
    <t>Harmiati</t>
  </si>
  <si>
    <t>Belum Konfirmasi</t>
  </si>
  <si>
    <t>Mitra Pendataan</t>
  </si>
  <si>
    <t>Dusun salupaondo</t>
  </si>
  <si>
    <t>76</t>
  </si>
  <si>
    <t>01</t>
  </si>
  <si>
    <t>041</t>
  </si>
  <si>
    <t>005</t>
  </si>
  <si>
    <t>, 06 Oktober 1993 (32)</t>
  </si>
  <si>
    <t>Pr</t>
  </si>
  <si>
    <t>Tamat SMS/Sederajat</t>
  </si>
  <si>
    <t>Mengurus Rumah Tangga</t>
  </si>
  <si>
    <t>+62 858-2508-1982</t>
  </si>
  <si>
    <t>760122090145</t>
  </si>
  <si>
    <t>hafsah030320@gmail.com</t>
  </si>
  <si>
    <t>Perlu dicek</t>
  </si>
  <si>
    <t>Data administrasi sesuai, berpengalaman, bisa berkendara (tetapi tidak memiliki motor), perangkat memadai. Memiliki hubungan dengan K/L/D/I tetapi tidak disebutkan nama instansinya</t>
  </si>
  <si>
    <t>NurAlisa</t>
  </si>
  <si>
    <t>Dusun Popenga, Desa Popenga, Kecamatan Ulumanda</t>
  </si>
  <si>
    <t>006</t>
  </si>
  <si>
    <t>, 24 Oktober 2002 (23)</t>
  </si>
  <si>
    <t>Pelajar / Mahasiswa</t>
  </si>
  <si>
    <t>+62 082-3950-91503</t>
  </si>
  <si>
    <t>alisaabdullah24102002@gmail.com</t>
  </si>
  <si>
    <t>Tidak</t>
  </si>
  <si>
    <t>Tidak mengunggah dokumen administrasi: KTP, ijazah, foto profil</t>
  </si>
  <si>
    <t>Arismansyah</t>
  </si>
  <si>
    <t>Jalan poros majene mamuju</t>
  </si>
  <si>
    <t>001</t>
  </si>
  <si>
    <t>KUTAI TIMUR, 10 Juni 2001 (24)</t>
  </si>
  <si>
    <t>Lk</t>
  </si>
  <si>
    <t>Lainnya</t>
  </si>
  <si>
    <t>Petani</t>
  </si>
  <si>
    <t>+62 085-7960-5639</t>
  </si>
  <si>
    <t>760122030059</t>
  </si>
  <si>
    <t>Andyrismansyah69@gmail.com</t>
  </si>
  <si>
    <t>Data administrasi sesuai, berpengalaman, bisa berkendara, perangkat memadai. Namun, tidak melampirkan ijazah</t>
  </si>
  <si>
    <t>SUJARMAN</t>
  </si>
  <si>
    <t>Mitra (Pendataan dan Pengolahan)</t>
  </si>
  <si>
    <t>Taukong, desa tandeallo</t>
  </si>
  <si>
    <t>003</t>
  </si>
  <si>
    <t>MAJENE, 30 April 1999 (26)</t>
  </si>
  <si>
    <t>Tamat D4/S1</t>
  </si>
  <si>
    <t>-</t>
  </si>
  <si>
    <t>+62 851-3640-8478</t>
  </si>
  <si>
    <t>tujajarman12@gmail.com</t>
  </si>
  <si>
    <t>Data administrasi sesuai, bisa berkendara, perangkat memadai. Namun, tidak melampirkan pas foto (foto profil)</t>
  </si>
  <si>
    <t>Prawansa</t>
  </si>
  <si>
    <t>Jalan sungai batupiring RT 002/ RW 000, Desa Tandeallo Kec. Ulumanda</t>
  </si>
  <si>
    <t>MAJENE, 19 November 1997 (27)</t>
  </si>
  <si>
    <t>Bertani</t>
  </si>
  <si>
    <t>+62 853-9748-8834</t>
  </si>
  <si>
    <t>caopek@gmail.com</t>
  </si>
  <si>
    <t>Lolos</t>
  </si>
  <si>
    <t>Data administrasi sesuai, berpengalaman, bisa berkendara, perangkat memadai.</t>
  </si>
  <si>
    <t>Dermawan</t>
  </si>
  <si>
    <t>Jln. Seppong Ulumanda</t>
  </si>
  <si>
    <t>MAJENE, 14 Juni 1995 (30)</t>
  </si>
  <si>
    <t>Aparat Desa / Kelurahan</t>
  </si>
  <si>
    <t>+62 852-5641-0058</t>
  </si>
  <si>
    <t>760122090164</t>
  </si>
  <si>
    <t>hermawanmawan904@gmail.com</t>
  </si>
  <si>
    <t>Data administrasi sesuai, berpengalaman, bisa berkendara, perangkat memadai. Pekerjaan sebagai aparat Desa/Kelurahan, Foto perlu diperbaiki</t>
  </si>
  <si>
    <t>MUH YUSUF</t>
  </si>
  <si>
    <t>Jalan poros majene - mamuju</t>
  </si>
  <si>
    <t>007</t>
  </si>
  <si>
    <t>MAJENE, 31 Desember 1996 (29)</t>
  </si>
  <si>
    <t>Kader PKK / Karang Taruna / Kader Lainnya</t>
  </si>
  <si>
    <t>+62 822-3109-3414</t>
  </si>
  <si>
    <t>760123110018</t>
  </si>
  <si>
    <t>muhyusufucu58@gmail.com</t>
  </si>
  <si>
    <t>Data administrasi sesuai, berpengalaman, bisa berkendara, perangkat memadai. Pekerjaan sebagai kader PKK.</t>
  </si>
  <si>
    <t>Asliani</t>
  </si>
  <si>
    <t>Mitra Pengolahan</t>
  </si>
  <si>
    <t>Jalan tandeallo kec ulumanda</t>
  </si>
  <si>
    <t>MAJENE, 16 April 2000 (25)</t>
  </si>
  <si>
    <t>Tidak ada</t>
  </si>
  <si>
    <t>+62 851-4253-6565</t>
  </si>
  <si>
    <t>Aslianiainy@gmail.com</t>
  </si>
  <si>
    <t>Data administrasi sesuai, bisa berkendara (tetapi tidak memiliki motor), perangkat memadai</t>
  </si>
  <si>
    <t>Imran</t>
  </si>
  <si>
    <t xml:space="preserve">Majene </t>
  </si>
  <si>
    <t>MAJENE, 01 Februari 1995 (30)</t>
  </si>
  <si>
    <t xml:space="preserve">Belum bekerja </t>
  </si>
  <si>
    <t>+62 852-1551-2161</t>
  </si>
  <si>
    <t>imransalam1995@gmail.com</t>
  </si>
  <si>
    <t>Data administrasi sesuai, bisa berkendara, perangkat memadai. Tidak melampirkan KTP</t>
  </si>
  <si>
    <t>M.Akil</t>
  </si>
  <si>
    <t>Dusun salulemo, Desa Tandeallo, Kec. Ulumanda</t>
  </si>
  <si>
    <t>MAJENE, 30 Juli 2001 (24)</t>
  </si>
  <si>
    <t>+62 821-9721-5299</t>
  </si>
  <si>
    <t>akilsyam24@gmail.com</t>
  </si>
  <si>
    <t>Data administrasi sesuai, bisa berkendara, perangkat memadai. Tetapi tidak melampirkan pas foto (foto profil)</t>
  </si>
  <si>
    <t>MUHAMMAD ASRUL S.SOS</t>
  </si>
  <si>
    <t>Desa Sulai, Kec. Ulumanda Kab. Majene</t>
  </si>
  <si>
    <t>009</t>
  </si>
  <si>
    <t>MAJENE, 17 Juli 1997 (28)</t>
  </si>
  <si>
    <t>Wiraswasta</t>
  </si>
  <si>
    <t>+62 085-3539-24800</t>
  </si>
  <si>
    <t>760123030019</t>
  </si>
  <si>
    <t>asrulprakerja@gmail.com</t>
  </si>
  <si>
    <t>Data administrasi sesuai, berpengalaman, bisa berkendara, perangkat memadai</t>
  </si>
  <si>
    <t>ADE IRMA SARI</t>
  </si>
  <si>
    <t>Jalan Poros Majene-Mamuju</t>
  </si>
  <si>
    <t>MAJENE, 28 Juli 2003 (22)</t>
  </si>
  <si>
    <t>Tidak bekerja</t>
  </si>
  <si>
    <t>+62 877-1472-5082</t>
  </si>
  <si>
    <t>760123110036</t>
  </si>
  <si>
    <t>adeirmasari51@gmail.com</t>
  </si>
  <si>
    <t>Data administrasi sesuai, bisa berkendara, perangkat memadai. Profil pendidikan terakhir adalah D4/S1 tetapi ijazah yang diunggah SMA/Sederajat</t>
  </si>
  <si>
    <t>Andi iki</t>
  </si>
  <si>
    <t>Dusun Tamalonang, Desa Kabiraan</t>
  </si>
  <si>
    <t>MAJENE, 07 September 1995 (30)</t>
  </si>
  <si>
    <t>+62 853-9723-4382</t>
  </si>
  <si>
    <t>760123030021</t>
  </si>
  <si>
    <t>andiiki1234@gmail.com</t>
  </si>
  <si>
    <t xml:space="preserve">Wiwis </t>
  </si>
  <si>
    <t xml:space="preserve">Rura </t>
  </si>
  <si>
    <t>002</t>
  </si>
  <si>
    <t>MAJENE, 01 Juni 1997 (28)</t>
  </si>
  <si>
    <t>Tamat D1/D2/D3</t>
  </si>
  <si>
    <t>+62 821-9171-3568</t>
  </si>
  <si>
    <t>wiwismajene@gmail.com</t>
  </si>
  <si>
    <t xml:space="preserve">Muhammad Isrha </t>
  </si>
  <si>
    <t>Dusun Sulai Selatan</t>
  </si>
  <si>
    <t>MAJENE, 12 Oktober 2000 (25)</t>
  </si>
  <si>
    <t xml:space="preserve">Belum ada pekerjaan </t>
  </si>
  <si>
    <t>+62 812-4285-4929</t>
  </si>
  <si>
    <t>isrhashihab@gmail.com</t>
  </si>
  <si>
    <t>Data administrasi sesuai, bisa berkendara, perangkat memadai</t>
  </si>
  <si>
    <t>SUNAJIR, S. IP</t>
  </si>
  <si>
    <t>TAUKONG</t>
  </si>
  <si>
    <t>MAJENE, 02 Februari 1996 (29)</t>
  </si>
  <si>
    <t>+62 851-7990-2024</t>
  </si>
  <si>
    <t>760122090133</t>
  </si>
  <si>
    <t>najirr346@gmail.com</t>
  </si>
  <si>
    <t>ABD. Malik</t>
  </si>
  <si>
    <t>kolehalang</t>
  </si>
  <si>
    <t>008</t>
  </si>
  <si>
    <t>MAJENE, 05 Agustus 1997 (28)</t>
  </si>
  <si>
    <t>+62 821-9694-8429</t>
  </si>
  <si>
    <t>760122100001</t>
  </si>
  <si>
    <t>malikasmir748@gmail.com</t>
  </si>
  <si>
    <t>Data administrasi sesuai, berpengalaman (regsosek), bisa berkendara, perangkat memadai</t>
  </si>
  <si>
    <t>ABD RAJAB</t>
  </si>
  <si>
    <t>Dusun Sambabo</t>
  </si>
  <si>
    <t>MAJENE, 10 Desember 1982 (43)</t>
  </si>
  <si>
    <t>+62 628-2311-50655</t>
  </si>
  <si>
    <t>760122090194</t>
  </si>
  <si>
    <t>4bdr4j4b@gmail.com</t>
  </si>
  <si>
    <t>Hammadiya</t>
  </si>
  <si>
    <t>Dusun batulotong</t>
  </si>
  <si>
    <t>MAJENE, 05 Juli 1987 (38)</t>
  </si>
  <si>
    <t>+62 852-5686-0094</t>
  </si>
  <si>
    <t>760122020007</t>
  </si>
  <si>
    <t>hammadiyahbtl@gmail.com</t>
  </si>
  <si>
    <t>Muzakkar</t>
  </si>
  <si>
    <t>Dusun Urekang</t>
  </si>
  <si>
    <t>MAMASA, 26 Oktober 1998 (27)</t>
  </si>
  <si>
    <t>+62 895-2834-9615</t>
  </si>
  <si>
    <t>musakkar1571@gmail.com</t>
  </si>
  <si>
    <t>Data administrasi sesuai, bisa berkendara, perangkat memadai. Foto profil tidak diunggah/kosong</t>
  </si>
  <si>
    <t>telpon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</si>
</sst>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C8B0-799E-FF49-A7B9-91FBECC4C6A4}">
  <dimension ref="A1:T27"/>
  <sheetViews>
    <sheetView tabSelected="1" topLeftCell="L1" workbookViewId="0">
      <selection activeCell="T1" sqref="T1"/>
    </sheetView>
  </sheetViews>
  <sheetFormatPr baseColWidth="10" defaultColWidth="12.6640625" defaultRowHeight="16" x14ac:dyDescent="0.2"/>
  <cols>
    <col min="1" max="1" width="21.1640625" customWidth="1"/>
    <col min="2" max="2" width="7.6640625" hidden="1" customWidth="1"/>
    <col min="3" max="3" width="35.6640625" hidden="1" customWidth="1"/>
    <col min="4" max="4" width="26.83203125" customWidth="1"/>
    <col min="5" max="5" width="54.1640625" customWidth="1"/>
    <col min="6" max="6" width="12.83203125" hidden="1" customWidth="1"/>
    <col min="7" max="7" width="12.1640625" hidden="1" customWidth="1"/>
    <col min="8" max="8" width="12" hidden="1" customWidth="1"/>
    <col min="9" max="9" width="13.1640625" customWidth="1"/>
    <col min="10" max="10" width="26.6640625" customWidth="1"/>
    <col min="11" max="11" width="13.6640625" customWidth="1"/>
    <col min="12" max="12" width="17" customWidth="1"/>
    <col min="13" max="13" width="32.6640625" customWidth="1"/>
    <col min="14" max="14" width="21.83203125" customWidth="1"/>
    <col min="15" max="15" width="16.5" customWidth="1"/>
    <col min="16" max="16" width="12.1640625" customWidth="1"/>
    <col min="17" max="17" width="27.5" customWidth="1"/>
    <col min="18" max="18" width="13.6640625" customWidth="1"/>
    <col min="19" max="19" width="24.1640625" customWidth="1"/>
    <col min="20" max="20" width="15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4" t="s">
        <v>181</v>
      </c>
    </row>
    <row r="2" spans="1:20" ht="90" x14ac:dyDescent="0.2">
      <c r="A2" s="5" t="s">
        <v>19</v>
      </c>
      <c r="B2" s="5"/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/>
      <c r="O2" s="5" t="s">
        <v>31</v>
      </c>
      <c r="P2" s="5" t="s">
        <v>32</v>
      </c>
      <c r="Q2" s="5" t="s">
        <v>33</v>
      </c>
      <c r="R2" s="6" t="s">
        <v>34</v>
      </c>
      <c r="S2" s="7" t="s">
        <v>35</v>
      </c>
      <c r="T2" s="8" t="str">
        <f ca="1">IFERROR(__xludf.DUMMYFUNCTION("REGEXREPLACE(REGEXREPLACE(O2, ""[^0-9]"", """"), ""^620"", ""62"")"),"6285825081982")</f>
        <v>6285825081982</v>
      </c>
    </row>
    <row r="3" spans="1:20" ht="45" x14ac:dyDescent="0.2">
      <c r="A3" s="5" t="s">
        <v>36</v>
      </c>
      <c r="B3" s="5"/>
      <c r="C3" s="5" t="s">
        <v>20</v>
      </c>
      <c r="D3" s="5" t="s">
        <v>21</v>
      </c>
      <c r="E3" s="5" t="s">
        <v>37</v>
      </c>
      <c r="F3" s="5" t="s">
        <v>23</v>
      </c>
      <c r="G3" s="5" t="s">
        <v>24</v>
      </c>
      <c r="H3" s="5" t="s">
        <v>25</v>
      </c>
      <c r="I3" s="5" t="s">
        <v>38</v>
      </c>
      <c r="J3" s="5" t="s">
        <v>39</v>
      </c>
      <c r="K3" s="5" t="s">
        <v>28</v>
      </c>
      <c r="L3" s="5" t="s">
        <v>29</v>
      </c>
      <c r="M3" s="5" t="s">
        <v>40</v>
      </c>
      <c r="N3" s="5"/>
      <c r="O3" s="5" t="s">
        <v>41</v>
      </c>
      <c r="P3" s="5"/>
      <c r="Q3" s="5" t="s">
        <v>42</v>
      </c>
      <c r="R3" s="6" t="s">
        <v>43</v>
      </c>
      <c r="S3" s="7" t="s">
        <v>44</v>
      </c>
      <c r="T3" s="8" t="str">
        <f ca="1">IFERROR(__xludf.DUMMYFUNCTION("REGEXREPLACE(REGEXREPLACE(O3, ""[^0-9]"", """"), ""^620"", ""62"")"),"6282395091503")</f>
        <v>6282395091503</v>
      </c>
    </row>
    <row r="4" spans="1:20" ht="60" x14ac:dyDescent="0.2">
      <c r="A4" s="5" t="s">
        <v>45</v>
      </c>
      <c r="B4" s="5"/>
      <c r="C4" s="5" t="s">
        <v>20</v>
      </c>
      <c r="D4" s="5" t="s">
        <v>21</v>
      </c>
      <c r="E4" s="5" t="s">
        <v>46</v>
      </c>
      <c r="F4" s="5" t="s">
        <v>23</v>
      </c>
      <c r="G4" s="5" t="s">
        <v>24</v>
      </c>
      <c r="H4" s="5" t="s">
        <v>25</v>
      </c>
      <c r="I4" s="5" t="s">
        <v>47</v>
      </c>
      <c r="J4" s="5" t="s">
        <v>48</v>
      </c>
      <c r="K4" s="5" t="s">
        <v>49</v>
      </c>
      <c r="L4" s="5" t="s">
        <v>29</v>
      </c>
      <c r="M4" s="5" t="s">
        <v>50</v>
      </c>
      <c r="N4" s="5" t="s">
        <v>51</v>
      </c>
      <c r="O4" s="5" t="s">
        <v>52</v>
      </c>
      <c r="P4" s="5" t="s">
        <v>53</v>
      </c>
      <c r="Q4" s="5" t="s">
        <v>54</v>
      </c>
      <c r="R4" s="6" t="s">
        <v>34</v>
      </c>
      <c r="S4" s="7" t="s">
        <v>55</v>
      </c>
      <c r="T4" s="8" t="str">
        <f ca="1">IFERROR(__xludf.DUMMYFUNCTION("REGEXREPLACE(REGEXREPLACE(O4, ""[^0-9]"", """"), ""^620"", ""62"")"),"628579605639")</f>
        <v>628579605639</v>
      </c>
    </row>
    <row r="5" spans="1:20" ht="60" x14ac:dyDescent="0.2">
      <c r="A5" s="5" t="s">
        <v>56</v>
      </c>
      <c r="B5" s="5"/>
      <c r="C5" s="5" t="s">
        <v>20</v>
      </c>
      <c r="D5" s="5" t="s">
        <v>57</v>
      </c>
      <c r="E5" s="5" t="s">
        <v>58</v>
      </c>
      <c r="F5" s="5" t="s">
        <v>23</v>
      </c>
      <c r="G5" s="5" t="s">
        <v>24</v>
      </c>
      <c r="H5" s="5" t="s">
        <v>25</v>
      </c>
      <c r="I5" s="5" t="s">
        <v>59</v>
      </c>
      <c r="J5" s="5" t="s">
        <v>60</v>
      </c>
      <c r="K5" s="5" t="s">
        <v>49</v>
      </c>
      <c r="L5" s="5" t="s">
        <v>61</v>
      </c>
      <c r="M5" s="5" t="s">
        <v>50</v>
      </c>
      <c r="N5" s="5" t="s">
        <v>62</v>
      </c>
      <c r="O5" s="5" t="s">
        <v>63</v>
      </c>
      <c r="P5" s="5"/>
      <c r="Q5" s="5" t="s">
        <v>64</v>
      </c>
      <c r="R5" s="6" t="s">
        <v>34</v>
      </c>
      <c r="S5" s="7" t="s">
        <v>65</v>
      </c>
      <c r="T5" s="8" t="str">
        <f ca="1">IFERROR(__xludf.DUMMYFUNCTION("REGEXREPLACE(REGEXREPLACE(O5, ""[^0-9]"", """"), ""^620"", ""62"")"),"6285136408478")</f>
        <v>6285136408478</v>
      </c>
    </row>
    <row r="6" spans="1:20" ht="45" x14ac:dyDescent="0.2">
      <c r="A6" s="5" t="s">
        <v>66</v>
      </c>
      <c r="B6" s="5"/>
      <c r="C6" s="5" t="s">
        <v>20</v>
      </c>
      <c r="D6" s="5" t="s">
        <v>57</v>
      </c>
      <c r="E6" s="5" t="s">
        <v>67</v>
      </c>
      <c r="F6" s="5" t="s">
        <v>23</v>
      </c>
      <c r="G6" s="5" t="s">
        <v>24</v>
      </c>
      <c r="H6" s="5" t="s">
        <v>25</v>
      </c>
      <c r="I6" s="5" t="s">
        <v>59</v>
      </c>
      <c r="J6" s="5" t="s">
        <v>68</v>
      </c>
      <c r="K6" s="5" t="s">
        <v>49</v>
      </c>
      <c r="L6" s="5" t="s">
        <v>61</v>
      </c>
      <c r="M6" s="5" t="s">
        <v>50</v>
      </c>
      <c r="N6" s="5" t="s">
        <v>69</v>
      </c>
      <c r="O6" s="5" t="s">
        <v>70</v>
      </c>
      <c r="P6" s="5"/>
      <c r="Q6" s="5" t="s">
        <v>71</v>
      </c>
      <c r="R6" s="6" t="s">
        <v>72</v>
      </c>
      <c r="S6" s="7" t="s">
        <v>73</v>
      </c>
      <c r="T6" s="8" t="str">
        <f ca="1">IFERROR(__xludf.DUMMYFUNCTION("REGEXREPLACE(REGEXREPLACE(O6, ""[^0-9]"", """"), ""^620"", ""62"")"),"6285397488834")</f>
        <v>6285397488834</v>
      </c>
    </row>
    <row r="7" spans="1:20" ht="75" x14ac:dyDescent="0.2">
      <c r="A7" s="5" t="s">
        <v>74</v>
      </c>
      <c r="B7" s="5"/>
      <c r="C7" s="5" t="s">
        <v>20</v>
      </c>
      <c r="D7" s="5" t="s">
        <v>57</v>
      </c>
      <c r="E7" s="5" t="s">
        <v>75</v>
      </c>
      <c r="F7" s="5" t="s">
        <v>23</v>
      </c>
      <c r="G7" s="5" t="s">
        <v>24</v>
      </c>
      <c r="H7" s="5" t="s">
        <v>25</v>
      </c>
      <c r="I7" s="5" t="s">
        <v>47</v>
      </c>
      <c r="J7" s="5" t="s">
        <v>76</v>
      </c>
      <c r="K7" s="5" t="s">
        <v>49</v>
      </c>
      <c r="L7" s="5" t="s">
        <v>29</v>
      </c>
      <c r="M7" s="5" t="s">
        <v>77</v>
      </c>
      <c r="N7" s="5"/>
      <c r="O7" s="5" t="s">
        <v>78</v>
      </c>
      <c r="P7" s="5" t="s">
        <v>79</v>
      </c>
      <c r="Q7" s="5" t="s">
        <v>80</v>
      </c>
      <c r="R7" s="6" t="s">
        <v>34</v>
      </c>
      <c r="S7" s="7" t="s">
        <v>81</v>
      </c>
      <c r="T7" s="8" t="str">
        <f ca="1">IFERROR(__xludf.DUMMYFUNCTION("REGEXREPLACE(REGEXREPLACE(O7, ""[^0-9]"", """"), ""^620"", ""62"")"),"6285256410058")</f>
        <v>6285256410058</v>
      </c>
    </row>
    <row r="8" spans="1:20" ht="60" x14ac:dyDescent="0.2">
      <c r="A8" s="5" t="s">
        <v>82</v>
      </c>
      <c r="B8" s="5"/>
      <c r="C8" s="5" t="s">
        <v>20</v>
      </c>
      <c r="D8" s="5" t="s">
        <v>57</v>
      </c>
      <c r="E8" s="5" t="s">
        <v>83</v>
      </c>
      <c r="F8" s="5" t="s">
        <v>23</v>
      </c>
      <c r="G8" s="5" t="s">
        <v>24</v>
      </c>
      <c r="H8" s="5" t="s">
        <v>25</v>
      </c>
      <c r="I8" s="5" t="s">
        <v>84</v>
      </c>
      <c r="J8" s="5" t="s">
        <v>85</v>
      </c>
      <c r="K8" s="5" t="s">
        <v>49</v>
      </c>
      <c r="L8" s="5" t="s">
        <v>61</v>
      </c>
      <c r="M8" s="5" t="s">
        <v>86</v>
      </c>
      <c r="N8" s="5"/>
      <c r="O8" s="5" t="s">
        <v>87</v>
      </c>
      <c r="P8" s="5" t="s">
        <v>88</v>
      </c>
      <c r="Q8" s="5" t="s">
        <v>89</v>
      </c>
      <c r="R8" s="6" t="s">
        <v>34</v>
      </c>
      <c r="S8" s="7" t="s">
        <v>90</v>
      </c>
      <c r="T8" s="8" t="str">
        <f ca="1">IFERROR(__xludf.DUMMYFUNCTION("REGEXREPLACE(REGEXREPLACE(O8, ""[^0-9]"", """"), ""^620"", ""62"")"),"6282231093414")</f>
        <v>6282231093414</v>
      </c>
    </row>
    <row r="9" spans="1:20" ht="45" x14ac:dyDescent="0.2">
      <c r="A9" s="5" t="s">
        <v>91</v>
      </c>
      <c r="B9" s="5"/>
      <c r="C9" s="5" t="s">
        <v>20</v>
      </c>
      <c r="D9" s="5" t="s">
        <v>92</v>
      </c>
      <c r="E9" s="5" t="s">
        <v>93</v>
      </c>
      <c r="F9" s="5" t="s">
        <v>23</v>
      </c>
      <c r="G9" s="5" t="s">
        <v>24</v>
      </c>
      <c r="H9" s="5" t="s">
        <v>25</v>
      </c>
      <c r="I9" s="5" t="s">
        <v>59</v>
      </c>
      <c r="J9" s="5" t="s">
        <v>94</v>
      </c>
      <c r="K9" s="5" t="s">
        <v>28</v>
      </c>
      <c r="L9" s="5" t="s">
        <v>61</v>
      </c>
      <c r="M9" s="5" t="s">
        <v>50</v>
      </c>
      <c r="N9" s="5" t="s">
        <v>95</v>
      </c>
      <c r="O9" s="5" t="s">
        <v>96</v>
      </c>
      <c r="P9" s="5"/>
      <c r="Q9" s="5" t="s">
        <v>97</v>
      </c>
      <c r="R9" s="6" t="s">
        <v>72</v>
      </c>
      <c r="S9" s="7" t="s">
        <v>98</v>
      </c>
      <c r="T9" s="8" t="str">
        <f ca="1">IFERROR(__xludf.DUMMYFUNCTION("REGEXREPLACE(REGEXREPLACE(O9, ""[^0-9]"", """"), ""^620"", ""62"")"),"6285142536565")</f>
        <v>6285142536565</v>
      </c>
    </row>
    <row r="10" spans="1:20" ht="45" x14ac:dyDescent="0.2">
      <c r="A10" s="5" t="s">
        <v>99</v>
      </c>
      <c r="B10" s="5"/>
      <c r="C10" s="5" t="s">
        <v>20</v>
      </c>
      <c r="D10" s="5" t="s">
        <v>21</v>
      </c>
      <c r="E10" s="5" t="s">
        <v>100</v>
      </c>
      <c r="F10" s="5" t="s">
        <v>23</v>
      </c>
      <c r="G10" s="5" t="s">
        <v>24</v>
      </c>
      <c r="H10" s="5" t="s">
        <v>25</v>
      </c>
      <c r="I10" s="5" t="s">
        <v>38</v>
      </c>
      <c r="J10" s="5" t="s">
        <v>101</v>
      </c>
      <c r="K10" s="5" t="s">
        <v>49</v>
      </c>
      <c r="L10" s="5" t="s">
        <v>61</v>
      </c>
      <c r="M10" s="5" t="s">
        <v>50</v>
      </c>
      <c r="N10" s="5" t="s">
        <v>102</v>
      </c>
      <c r="O10" s="5" t="s">
        <v>103</v>
      </c>
      <c r="P10" s="5"/>
      <c r="Q10" s="5" t="s">
        <v>104</v>
      </c>
      <c r="R10" s="6" t="s">
        <v>34</v>
      </c>
      <c r="S10" s="7" t="s">
        <v>105</v>
      </c>
      <c r="T10" s="8" t="str">
        <f ca="1">IFERROR(__xludf.DUMMYFUNCTION("REGEXREPLACE(REGEXREPLACE(O10, ""[^0-9]"", """"), ""^620"", ""62"")"),"6285215512161")</f>
        <v>6285215512161</v>
      </c>
    </row>
    <row r="11" spans="1:20" ht="60" x14ac:dyDescent="0.2">
      <c r="A11" s="5" t="s">
        <v>106</v>
      </c>
      <c r="B11" s="5"/>
      <c r="C11" s="5" t="s">
        <v>20</v>
      </c>
      <c r="D11" s="5" t="s">
        <v>21</v>
      </c>
      <c r="E11" s="5" t="s">
        <v>107</v>
      </c>
      <c r="F11" s="5" t="s">
        <v>23</v>
      </c>
      <c r="G11" s="5" t="s">
        <v>24</v>
      </c>
      <c r="H11" s="5" t="s">
        <v>25</v>
      </c>
      <c r="I11" s="5" t="s">
        <v>59</v>
      </c>
      <c r="J11" s="5" t="s">
        <v>108</v>
      </c>
      <c r="K11" s="5" t="s">
        <v>49</v>
      </c>
      <c r="L11" s="5" t="s">
        <v>29</v>
      </c>
      <c r="M11" s="5" t="s">
        <v>50</v>
      </c>
      <c r="N11" s="5" t="s">
        <v>51</v>
      </c>
      <c r="O11" s="5" t="s">
        <v>109</v>
      </c>
      <c r="P11" s="5"/>
      <c r="Q11" s="5" t="s">
        <v>110</v>
      </c>
      <c r="R11" s="6" t="s">
        <v>34</v>
      </c>
      <c r="S11" s="7" t="s">
        <v>111</v>
      </c>
      <c r="T11" s="8" t="str">
        <f ca="1">IFERROR(__xludf.DUMMYFUNCTION("REGEXREPLACE(REGEXREPLACE(O11, ""[^0-9]"", """"), ""^620"", ""62"")"),"6282197215299")</f>
        <v>6282197215299</v>
      </c>
    </row>
    <row r="12" spans="1:20" ht="45" x14ac:dyDescent="0.2">
      <c r="A12" s="5" t="s">
        <v>112</v>
      </c>
      <c r="B12" s="5"/>
      <c r="C12" s="5" t="s">
        <v>20</v>
      </c>
      <c r="D12" s="5" t="s">
        <v>21</v>
      </c>
      <c r="E12" s="5" t="s">
        <v>113</v>
      </c>
      <c r="F12" s="5" t="s">
        <v>23</v>
      </c>
      <c r="G12" s="5" t="s">
        <v>24</v>
      </c>
      <c r="H12" s="5" t="s">
        <v>25</v>
      </c>
      <c r="I12" s="5" t="s">
        <v>114</v>
      </c>
      <c r="J12" s="5" t="s">
        <v>115</v>
      </c>
      <c r="K12" s="5" t="s">
        <v>49</v>
      </c>
      <c r="L12" s="5" t="s">
        <v>61</v>
      </c>
      <c r="M12" s="5" t="s">
        <v>116</v>
      </c>
      <c r="N12" s="5"/>
      <c r="O12" s="5" t="s">
        <v>117</v>
      </c>
      <c r="P12" s="5" t="s">
        <v>118</v>
      </c>
      <c r="Q12" s="5" t="s">
        <v>119</v>
      </c>
      <c r="R12" s="6" t="s">
        <v>72</v>
      </c>
      <c r="S12" s="7" t="s">
        <v>120</v>
      </c>
      <c r="T12" s="8" t="str">
        <f ca="1">IFERROR(__xludf.DUMMYFUNCTION("REGEXREPLACE(REGEXREPLACE(O12, ""[^0-9]"", """"), ""^620"", ""62"")"),"6285353924800")</f>
        <v>6285353924800</v>
      </c>
    </row>
    <row r="13" spans="1:20" ht="75" x14ac:dyDescent="0.2">
      <c r="A13" s="5" t="s">
        <v>121</v>
      </c>
      <c r="B13" s="5"/>
      <c r="C13" s="5" t="s">
        <v>20</v>
      </c>
      <c r="D13" s="5" t="s">
        <v>57</v>
      </c>
      <c r="E13" s="5" t="s">
        <v>122</v>
      </c>
      <c r="F13" s="5" t="s">
        <v>23</v>
      </c>
      <c r="G13" s="5" t="s">
        <v>24</v>
      </c>
      <c r="H13" s="5" t="s">
        <v>25</v>
      </c>
      <c r="I13" s="5" t="s">
        <v>84</v>
      </c>
      <c r="J13" s="5" t="s">
        <v>123</v>
      </c>
      <c r="K13" s="5" t="s">
        <v>28</v>
      </c>
      <c r="L13" s="5" t="s">
        <v>61</v>
      </c>
      <c r="M13" s="5" t="s">
        <v>50</v>
      </c>
      <c r="N13" s="5" t="s">
        <v>124</v>
      </c>
      <c r="O13" s="5" t="s">
        <v>125</v>
      </c>
      <c r="P13" s="5" t="s">
        <v>126</v>
      </c>
      <c r="Q13" s="5" t="s">
        <v>127</v>
      </c>
      <c r="R13" s="6" t="s">
        <v>34</v>
      </c>
      <c r="S13" s="7" t="s">
        <v>128</v>
      </c>
      <c r="T13" s="8" t="str">
        <f ca="1">IFERROR(__xludf.DUMMYFUNCTION("REGEXREPLACE(REGEXREPLACE(O13, ""[^0-9]"", """"), ""^620"", ""62"")"),"6287714725082")</f>
        <v>6287714725082</v>
      </c>
    </row>
    <row r="14" spans="1:20" ht="45" x14ac:dyDescent="0.2">
      <c r="A14" s="5" t="s">
        <v>129</v>
      </c>
      <c r="B14" s="5"/>
      <c r="C14" s="5" t="s">
        <v>20</v>
      </c>
      <c r="D14" s="5" t="s">
        <v>57</v>
      </c>
      <c r="E14" s="5" t="s">
        <v>130</v>
      </c>
      <c r="F14" s="5" t="s">
        <v>23</v>
      </c>
      <c r="G14" s="5" t="s">
        <v>24</v>
      </c>
      <c r="H14" s="5" t="s">
        <v>25</v>
      </c>
      <c r="I14" s="5" t="s">
        <v>26</v>
      </c>
      <c r="J14" s="5" t="s">
        <v>131</v>
      </c>
      <c r="K14" s="5" t="s">
        <v>49</v>
      </c>
      <c r="L14" s="5" t="s">
        <v>61</v>
      </c>
      <c r="M14" s="5" t="s">
        <v>50</v>
      </c>
      <c r="N14" s="5" t="s">
        <v>51</v>
      </c>
      <c r="O14" s="5" t="s">
        <v>132</v>
      </c>
      <c r="P14" s="5" t="s">
        <v>133</v>
      </c>
      <c r="Q14" s="5" t="s">
        <v>134</v>
      </c>
      <c r="R14" s="6" t="s">
        <v>72</v>
      </c>
      <c r="S14" s="7" t="s">
        <v>120</v>
      </c>
      <c r="T14" s="8" t="str">
        <f ca="1">IFERROR(__xludf.DUMMYFUNCTION("REGEXREPLACE(REGEXREPLACE(O14, ""[^0-9]"", """"), ""^620"", ""62"")"),"6285397234382")</f>
        <v>6285397234382</v>
      </c>
    </row>
    <row r="15" spans="1:20" ht="45" x14ac:dyDescent="0.2">
      <c r="A15" s="5" t="s">
        <v>135</v>
      </c>
      <c r="B15" s="5"/>
      <c r="C15" s="5" t="s">
        <v>20</v>
      </c>
      <c r="D15" s="5" t="s">
        <v>57</v>
      </c>
      <c r="E15" s="5" t="s">
        <v>136</v>
      </c>
      <c r="F15" s="5" t="s">
        <v>23</v>
      </c>
      <c r="G15" s="5" t="s">
        <v>24</v>
      </c>
      <c r="H15" s="5" t="s">
        <v>25</v>
      </c>
      <c r="I15" s="5" t="s">
        <v>137</v>
      </c>
      <c r="J15" s="5" t="s">
        <v>138</v>
      </c>
      <c r="K15" s="5" t="s">
        <v>28</v>
      </c>
      <c r="L15" s="5" t="s">
        <v>139</v>
      </c>
      <c r="M15" s="5" t="s">
        <v>40</v>
      </c>
      <c r="N15" s="5"/>
      <c r="O15" s="5" t="s">
        <v>140</v>
      </c>
      <c r="P15" s="5"/>
      <c r="Q15" s="5" t="s">
        <v>141</v>
      </c>
      <c r="R15" s="6" t="s">
        <v>72</v>
      </c>
      <c r="S15" s="7" t="s">
        <v>120</v>
      </c>
      <c r="T15" s="8" t="str">
        <f ca="1">IFERROR(__xludf.DUMMYFUNCTION("REGEXREPLACE(REGEXREPLACE(O15, ""[^0-9]"", """"), ""^620"", ""62"")"),"6282191713568")</f>
        <v>6282191713568</v>
      </c>
    </row>
    <row r="16" spans="1:20" ht="30" x14ac:dyDescent="0.2">
      <c r="A16" s="5" t="s">
        <v>142</v>
      </c>
      <c r="B16" s="5"/>
      <c r="C16" s="5" t="s">
        <v>20</v>
      </c>
      <c r="D16" s="5" t="s">
        <v>21</v>
      </c>
      <c r="E16" s="5" t="s">
        <v>143</v>
      </c>
      <c r="F16" s="5" t="s">
        <v>23</v>
      </c>
      <c r="G16" s="5" t="s">
        <v>24</v>
      </c>
      <c r="H16" s="5" t="s">
        <v>25</v>
      </c>
      <c r="I16" s="5" t="s">
        <v>114</v>
      </c>
      <c r="J16" s="5" t="s">
        <v>144</v>
      </c>
      <c r="K16" s="5" t="s">
        <v>49</v>
      </c>
      <c r="L16" s="5" t="s">
        <v>61</v>
      </c>
      <c r="M16" s="5" t="s">
        <v>50</v>
      </c>
      <c r="N16" s="5" t="s">
        <v>145</v>
      </c>
      <c r="O16" s="5" t="s">
        <v>146</v>
      </c>
      <c r="P16" s="5"/>
      <c r="Q16" s="5" t="s">
        <v>147</v>
      </c>
      <c r="R16" s="6" t="s">
        <v>72</v>
      </c>
      <c r="S16" s="7" t="s">
        <v>148</v>
      </c>
      <c r="T16" s="8" t="str">
        <f ca="1">IFERROR(__xludf.DUMMYFUNCTION("REGEXREPLACE(REGEXREPLACE(O16, ""[^0-9]"", """"), ""^620"", ""62"")"),"6281242854929")</f>
        <v>6281242854929</v>
      </c>
    </row>
    <row r="17" spans="1:20" ht="45" x14ac:dyDescent="0.2">
      <c r="A17" s="5" t="s">
        <v>149</v>
      </c>
      <c r="B17" s="5"/>
      <c r="C17" s="5" t="s">
        <v>20</v>
      </c>
      <c r="D17" s="5" t="s">
        <v>21</v>
      </c>
      <c r="E17" s="5" t="s">
        <v>150</v>
      </c>
      <c r="F17" s="5" t="s">
        <v>23</v>
      </c>
      <c r="G17" s="5" t="s">
        <v>24</v>
      </c>
      <c r="H17" s="5" t="s">
        <v>25</v>
      </c>
      <c r="I17" s="5" t="s">
        <v>59</v>
      </c>
      <c r="J17" s="5" t="s">
        <v>151</v>
      </c>
      <c r="K17" s="5" t="s">
        <v>49</v>
      </c>
      <c r="L17" s="5" t="s">
        <v>61</v>
      </c>
      <c r="M17" s="5" t="s">
        <v>50</v>
      </c>
      <c r="N17" s="5" t="s">
        <v>51</v>
      </c>
      <c r="O17" s="5" t="s">
        <v>152</v>
      </c>
      <c r="P17" s="5" t="s">
        <v>153</v>
      </c>
      <c r="Q17" s="5" t="s">
        <v>154</v>
      </c>
      <c r="R17" s="6" t="s">
        <v>72</v>
      </c>
      <c r="S17" s="7" t="s">
        <v>120</v>
      </c>
      <c r="T17" s="8" t="str">
        <f ca="1">IFERROR(__xludf.DUMMYFUNCTION("REGEXREPLACE(REGEXREPLACE(O17, ""[^0-9]"", """"), ""^620"", ""62"")"),"6285179902024")</f>
        <v>6285179902024</v>
      </c>
    </row>
    <row r="18" spans="1:20" ht="45" x14ac:dyDescent="0.2">
      <c r="A18" s="5" t="s">
        <v>155</v>
      </c>
      <c r="B18" s="5"/>
      <c r="C18" s="5" t="s">
        <v>20</v>
      </c>
      <c r="D18" s="5" t="s">
        <v>21</v>
      </c>
      <c r="E18" s="5" t="s">
        <v>156</v>
      </c>
      <c r="F18" s="5" t="s">
        <v>23</v>
      </c>
      <c r="G18" s="5" t="s">
        <v>24</v>
      </c>
      <c r="H18" s="5" t="s">
        <v>25</v>
      </c>
      <c r="I18" s="5" t="s">
        <v>157</v>
      </c>
      <c r="J18" s="5" t="s">
        <v>158</v>
      </c>
      <c r="K18" s="5" t="s">
        <v>49</v>
      </c>
      <c r="L18" s="5" t="s">
        <v>29</v>
      </c>
      <c r="M18" s="5" t="s">
        <v>50</v>
      </c>
      <c r="N18" s="5" t="s">
        <v>51</v>
      </c>
      <c r="O18" s="5" t="s">
        <v>159</v>
      </c>
      <c r="P18" s="5" t="s">
        <v>160</v>
      </c>
      <c r="Q18" s="5" t="s">
        <v>161</v>
      </c>
      <c r="R18" s="6" t="s">
        <v>72</v>
      </c>
      <c r="S18" s="7" t="s">
        <v>162</v>
      </c>
      <c r="T18" s="8" t="str">
        <f ca="1">IFERROR(__xludf.DUMMYFUNCTION("REGEXREPLACE(REGEXREPLACE(O18, ""[^0-9]"", """"), ""^620"", ""62"")"),"6282196948429")</f>
        <v>6282196948429</v>
      </c>
    </row>
    <row r="19" spans="1:20" ht="45" x14ac:dyDescent="0.2">
      <c r="A19" s="5" t="s">
        <v>163</v>
      </c>
      <c r="B19" s="5"/>
      <c r="C19" s="5" t="s">
        <v>20</v>
      </c>
      <c r="D19" s="5" t="s">
        <v>21</v>
      </c>
      <c r="E19" s="5" t="s">
        <v>164</v>
      </c>
      <c r="F19" s="5" t="s">
        <v>23</v>
      </c>
      <c r="G19" s="5" t="s">
        <v>24</v>
      </c>
      <c r="H19" s="5" t="s">
        <v>25</v>
      </c>
      <c r="I19" s="5" t="s">
        <v>137</v>
      </c>
      <c r="J19" s="5" t="s">
        <v>165</v>
      </c>
      <c r="K19" s="5" t="s">
        <v>49</v>
      </c>
      <c r="L19" s="5" t="s">
        <v>29</v>
      </c>
      <c r="M19" s="5" t="s">
        <v>116</v>
      </c>
      <c r="N19" s="5"/>
      <c r="O19" s="5" t="s">
        <v>166</v>
      </c>
      <c r="P19" s="5" t="s">
        <v>167</v>
      </c>
      <c r="Q19" s="5" t="s">
        <v>168</v>
      </c>
      <c r="R19" s="6" t="s">
        <v>72</v>
      </c>
      <c r="S19" s="7" t="s">
        <v>162</v>
      </c>
      <c r="T19" s="8" t="str">
        <f ca="1">IFERROR(__xludf.DUMMYFUNCTION("REGEXREPLACE(REGEXREPLACE(O19, ""[^0-9]"", """"), ""^620"", ""62"")"),"62628231150655")</f>
        <v>62628231150655</v>
      </c>
    </row>
    <row r="20" spans="1:20" ht="75" x14ac:dyDescent="0.2">
      <c r="A20" s="5" t="s">
        <v>169</v>
      </c>
      <c r="B20" s="5"/>
      <c r="C20" s="5" t="s">
        <v>20</v>
      </c>
      <c r="D20" s="5" t="s">
        <v>21</v>
      </c>
      <c r="E20" s="5" t="s">
        <v>170</v>
      </c>
      <c r="F20" s="5" t="s">
        <v>23</v>
      </c>
      <c r="G20" s="5" t="s">
        <v>24</v>
      </c>
      <c r="H20" s="5" t="s">
        <v>25</v>
      </c>
      <c r="I20" s="5" t="s">
        <v>114</v>
      </c>
      <c r="J20" s="5" t="s">
        <v>171</v>
      </c>
      <c r="K20" s="5" t="s">
        <v>49</v>
      </c>
      <c r="L20" s="5" t="s">
        <v>29</v>
      </c>
      <c r="M20" s="5" t="s">
        <v>77</v>
      </c>
      <c r="N20" s="5"/>
      <c r="O20" s="5" t="s">
        <v>172</v>
      </c>
      <c r="P20" s="5" t="s">
        <v>173</v>
      </c>
      <c r="Q20" s="5" t="s">
        <v>174</v>
      </c>
      <c r="R20" s="6" t="s">
        <v>34</v>
      </c>
      <c r="S20" s="7" t="s">
        <v>81</v>
      </c>
      <c r="T20" s="8" t="str">
        <f ca="1">IFERROR(__xludf.DUMMYFUNCTION("REGEXREPLACE(REGEXREPLACE(O20, ""[^0-9]"", """"), ""^620"", ""62"")"),"6285256860094")</f>
        <v>6285256860094</v>
      </c>
    </row>
    <row r="21" spans="1:20" ht="45" x14ac:dyDescent="0.2">
      <c r="A21" s="5" t="s">
        <v>175</v>
      </c>
      <c r="B21" s="5"/>
      <c r="C21" s="5" t="s">
        <v>20</v>
      </c>
      <c r="D21" s="5" t="s">
        <v>21</v>
      </c>
      <c r="E21" s="5" t="s">
        <v>176</v>
      </c>
      <c r="F21" s="5" t="s">
        <v>23</v>
      </c>
      <c r="G21" s="5" t="s">
        <v>24</v>
      </c>
      <c r="H21" s="5" t="s">
        <v>25</v>
      </c>
      <c r="I21" s="5" t="s">
        <v>38</v>
      </c>
      <c r="J21" s="5" t="s">
        <v>177</v>
      </c>
      <c r="K21" s="5" t="s">
        <v>49</v>
      </c>
      <c r="L21" s="5" t="s">
        <v>61</v>
      </c>
      <c r="M21" s="5" t="s">
        <v>116</v>
      </c>
      <c r="N21" s="5"/>
      <c r="O21" s="5" t="s">
        <v>178</v>
      </c>
      <c r="P21" s="5"/>
      <c r="Q21" s="5" t="s">
        <v>179</v>
      </c>
      <c r="R21" s="6" t="s">
        <v>34</v>
      </c>
      <c r="S21" s="7" t="s">
        <v>180</v>
      </c>
      <c r="T21" s="8" t="str">
        <f ca="1">IFERROR(__xludf.DUMMYFUNCTION("REGEXREPLACE(REGEXREPLACE(O21, ""[^0-9]"", """"), ""^620"", ""62"")"),"6289528349615")</f>
        <v>6289528349615</v>
      </c>
    </row>
    <row r="25" spans="1:20" x14ac:dyDescent="0.2">
      <c r="O25" s="8"/>
    </row>
    <row r="27" spans="1:20" x14ac:dyDescent="0.2">
      <c r="O27" s="8"/>
    </row>
  </sheetData>
  <dataValidations count="1">
    <dataValidation type="list" allowBlank="1" showErrorMessage="1" sqref="R2:R21" xr:uid="{57C7D9A2-2195-184C-8948-787E174E15B2}">
      <formula1>"Lolos,Tidak,Perlu dicek"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2025-11-15T13:26:04Z</dcterms:created>
  <dcterms:modified xsi:type="dcterms:W3CDTF">2025-11-15T13:28:04Z</dcterms:modified>
</cp:coreProperties>
</file>