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ardiansyah/side-project/wablas-autorespond/"/>
    </mc:Choice>
  </mc:AlternateContent>
  <xr:revisionPtr revIDLastSave="0" documentId="13_ncr:1_{F28F77D2-6154-3B46-A097-82F77D463D57}" xr6:coauthVersionLast="47" xr6:coauthVersionMax="47" xr10:uidLastSave="{00000000-0000-0000-0000-000000000000}"/>
  <bookViews>
    <workbookView xWindow="5580" yWindow="3920" windowWidth="27640" windowHeight="16940" xr2:uid="{29176C2B-905D-D940-8978-1E4817C66886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8" i="1" l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</calcChain>
</file>

<file path=xl/sharedStrings.xml><?xml version="1.0" encoding="utf-8"?>
<sst xmlns="http://schemas.openxmlformats.org/spreadsheetml/2006/main" count="980" uniqueCount="428">
  <si>
    <t>Nama Lengkap</t>
  </si>
  <si>
    <t>Posisi</t>
  </si>
  <si>
    <t>Status Seleksi (1=Terpilih, 2=Tidak Terpilih)</t>
  </si>
  <si>
    <t>Posisi Daftar</t>
  </si>
  <si>
    <t>Alamat Detail</t>
  </si>
  <si>
    <t>Alamat Prov</t>
  </si>
  <si>
    <t>Alamat Kab</t>
  </si>
  <si>
    <t>Alamat Kec</t>
  </si>
  <si>
    <t>Alamat Desa</t>
  </si>
  <si>
    <t>Tempat, Tanggal Lahir (Umur)*</t>
  </si>
  <si>
    <t>Jenis Kelamin</t>
  </si>
  <si>
    <t>Pendidikan</t>
  </si>
  <si>
    <t>Pekerjaan</t>
  </si>
  <si>
    <t>Deskripsi Pekerjaan Lain</t>
  </si>
  <si>
    <t>No Telp</t>
  </si>
  <si>
    <t>SOBAT ID</t>
  </si>
  <si>
    <t>Email</t>
  </si>
  <si>
    <t>Administrasi</t>
  </si>
  <si>
    <t>Catatan</t>
  </si>
  <si>
    <t>Herianto</t>
  </si>
  <si>
    <t>Belum Konfirmasi</t>
  </si>
  <si>
    <t>Mitra (Pendataan dan Pengolahan)</t>
  </si>
  <si>
    <t>RW. 02 Simullu RT. 003 RW.002</t>
  </si>
  <si>
    <t>76</t>
  </si>
  <si>
    <t>01</t>
  </si>
  <si>
    <t>011</t>
  </si>
  <si>
    <t>004</t>
  </si>
  <si>
    <t>, 06 Agustus 1993 (32)</t>
  </si>
  <si>
    <t>Lk</t>
  </si>
  <si>
    <t>Tamat D4/S1</t>
  </si>
  <si>
    <t>Lainnya</t>
  </si>
  <si>
    <t>-</t>
  </si>
  <si>
    <t>+62 813-4390-0862</t>
  </si>
  <si>
    <t>760123030034</t>
  </si>
  <si>
    <t>Herianto.agustus@gmail.com</t>
  </si>
  <si>
    <t>Lolos</t>
  </si>
  <si>
    <t xml:space="preserve">- Tidak mendeskripsikan jenis pekerjaan </t>
  </si>
  <si>
    <t>Nur Rahma</t>
  </si>
  <si>
    <t>lingkungan leppe</t>
  </si>
  <si>
    <t>006</t>
  </si>
  <si>
    <t>, 25 Januari 2025 (0)</t>
  </si>
  <si>
    <t>Pr</t>
  </si>
  <si>
    <t>Tamat SMS/Sederajat</t>
  </si>
  <si>
    <t>Pelajar / Mahasiswa</t>
  </si>
  <si>
    <t>+62 852-3254-4995</t>
  </si>
  <si>
    <t>nur917033@gmail.com</t>
  </si>
  <si>
    <t>Perlu dicek</t>
  </si>
  <si>
    <t>- Tidak melampirkan ijazah dan foto ktp
- Usia/tanggal lahir tidak sesuai dengan NIK
- Calon mitra baru/belum berpengalaman
- Nomor rekening bukan atas nama pribadi
- Perlu dipastikan kembali terkait kepemilikan HP android</t>
  </si>
  <si>
    <t>Roslaini Rahmat</t>
  </si>
  <si>
    <t>Mitra Pendataan</t>
  </si>
  <si>
    <t>Jl. Lettu M. Yamin Lingkungan Pangale</t>
  </si>
  <si>
    <t>001</t>
  </si>
  <si>
    <t>, 30 Desember 1998 (27)</t>
  </si>
  <si>
    <t>Mengurus Rumah Tangga</t>
  </si>
  <si>
    <t>+62 082-3354-50967</t>
  </si>
  <si>
    <t>roslainicenni@gmail.com</t>
  </si>
  <si>
    <t>Tidak</t>
  </si>
  <si>
    <t>- Belum berpengalaman
- Tidak melampirkan foto, ijazah, dan foto KTP
- Tidak memiliki rekening
- Tidak memiliki HP android, tidak punya motor dan tidak bisa mengendarai motor</t>
  </si>
  <si>
    <t>Wahyu rahmat</t>
  </si>
  <si>
    <t>Majene</t>
  </si>
  <si>
    <t>, 23 Juni 1997 (28)</t>
  </si>
  <si>
    <t>Buruh</t>
  </si>
  <si>
    <t>+62 821-9179-4903</t>
  </si>
  <si>
    <t>Wahyurahmat236@gmail.com</t>
  </si>
  <si>
    <t>PASNIH</t>
  </si>
  <si>
    <t xml:space="preserve">Lingkungan Parappe Kelurahan Labuang Kecamatan Banggae Timur Kab. Majene </t>
  </si>
  <si>
    <t>002</t>
  </si>
  <si>
    <t>, 05 Mei 1998 (27)</t>
  </si>
  <si>
    <t>Kerja Harian</t>
  </si>
  <si>
    <t>+62 823-4814-8653</t>
  </si>
  <si>
    <t>ffasni85@gmail.com</t>
  </si>
  <si>
    <t xml:space="preserve">MURNIATI ILBAS </t>
  </si>
  <si>
    <t>Jl. Ahmad Kirang no. 33 Tunda</t>
  </si>
  <si>
    <t>007</t>
  </si>
  <si>
    <t>, 02 Agustus 1988 (37)</t>
  </si>
  <si>
    <t>+62 813-5469-7096</t>
  </si>
  <si>
    <t>murnimajene88@gmail.com</t>
  </si>
  <si>
    <t>Erni Lestari ilbas</t>
  </si>
  <si>
    <t>Perumahan griya pesona lembang blok k4</t>
  </si>
  <si>
    <t>, 26 Mei 1994 (31)</t>
  </si>
  <si>
    <t>+62 852-3213-5780</t>
  </si>
  <si>
    <t>ernilestari281221@gmail.com</t>
  </si>
  <si>
    <t>Hasvita eka putri</t>
  </si>
  <si>
    <t>Jalan baharuddin aco tg batu barat</t>
  </si>
  <si>
    <t>JAKARTA TIMUR, 07 Juli 1996 (29)</t>
  </si>
  <si>
    <t>Wiraswasta</t>
  </si>
  <si>
    <t>+62 081-2443-25756</t>
  </si>
  <si>
    <t>760122030017</t>
  </si>
  <si>
    <t>hasvitaekaputri0610@gmail.com</t>
  </si>
  <si>
    <t>- Tidak upload ijazah
- Terakhir diikutsertakan pada kegiatan PLKUMKM, ditolak pada kegiatan Survei E-Commerce dan ST 2023
- Perlu dicek apakah memiliki track record yang kurang sehingga tidak diikutsertakan</t>
  </si>
  <si>
    <t>SAKINAH SEJAHTERA</t>
  </si>
  <si>
    <t>Mitra Pengolahan</t>
  </si>
  <si>
    <t>Jl. LANTO DG PASEWANG LR. LIPU</t>
  </si>
  <si>
    <t>BREBES, 01 Juli 2004 (21)</t>
  </si>
  <si>
    <t>+62 082-1873-02710</t>
  </si>
  <si>
    <t>sakinahsejahtera010704@gmail.com</t>
  </si>
  <si>
    <t>- Belum berpengalaman
- Tidak melampirkan foto
- Memiliki HP android, punya motor dan bisa mengendarai motor</t>
  </si>
  <si>
    <t>Sofyan Raditiya</t>
  </si>
  <si>
    <t>Saat Ini sedang Kos : di Lembang Majene, Alamat Rumah: Desa Banua, Dusun Pucca Owa, Kecamatan Malunda, Alamat KTP: Desa Mekatta, Dusun Samalio Utara, Kecamatan Malunda</t>
  </si>
  <si>
    <t>SUMENEP, 14 Juli 2004 (21)</t>
  </si>
  <si>
    <t>+62 822-9112-2557</t>
  </si>
  <si>
    <t>sofyanraditiya562@gmail.com</t>
  </si>
  <si>
    <t>- Tidak melampirkan foto
- Belum berpengalaman
- Alamat domisili berbeda dengan KTP karena sedang kos di Lembang
- Memiliki HP android, memiliki motor dan bisa mengendarai motor</t>
  </si>
  <si>
    <t>Eni</t>
  </si>
  <si>
    <t>Jl Taufik Abdullah No 20</t>
  </si>
  <si>
    <t>NUNUKAN, 31 Maret 1992 (33)</t>
  </si>
  <si>
    <t>+62 853-9414-4072</t>
  </si>
  <si>
    <t>760123020012</t>
  </si>
  <si>
    <t>enijamain50@gmail.com</t>
  </si>
  <si>
    <t>- Foto KTP terlalu kecil/buram</t>
  </si>
  <si>
    <t>RAHMAT</t>
  </si>
  <si>
    <t xml:space="preserve">Lingkungan Tunda </t>
  </si>
  <si>
    <t>BULUKUMBA, 19 Oktober 1991 (34)</t>
  </si>
  <si>
    <t>+62 085-1570-54558</t>
  </si>
  <si>
    <t>760122090183</t>
  </si>
  <si>
    <t>rahmat.pamungkas19@gmail.com</t>
  </si>
  <si>
    <t>- Terakhir diajak kerja sama pada Regsosek 2022
- Perlu dicek apakah memiliki track record yang kurang sehingga tidak diikutsertakan lagi</t>
  </si>
  <si>
    <t xml:space="preserve">Sri purnama sari </t>
  </si>
  <si>
    <t>Lingk.lembang</t>
  </si>
  <si>
    <t>BANTAENG, 10 Oktober 1998 (27)</t>
  </si>
  <si>
    <t>+62 852-9887-0164</t>
  </si>
  <si>
    <t>760123110220</t>
  </si>
  <si>
    <t>sarip9895@gmail.com</t>
  </si>
  <si>
    <t>- Tidak upload ijazah
- Belum berpengalaman (sejak 2024 sudah lolos perekrutan tapi belum diajak kerja sama)
- Memiliki HP android, memiliki motor dan bisa mengendarai</t>
  </si>
  <si>
    <t>Nurul Sakinah</t>
  </si>
  <si>
    <t>BTN Pullaewa Indah</t>
  </si>
  <si>
    <t>GOWA, 12 April 2001 (24)</t>
  </si>
  <si>
    <t>+62 822-5214-7307</t>
  </si>
  <si>
    <t>nurulsakinah1222@gmail.com</t>
  </si>
  <si>
    <t>- Memiliki HP android, memiliki motor dan bisa mengendarai
- Pernah mendaftar sebagai mitra pada BPS Kota Makassar tetapi ditolak pada tahap seleksi</t>
  </si>
  <si>
    <t xml:space="preserve">ARNIATI RAHMAN </t>
  </si>
  <si>
    <t xml:space="preserve">Griya Pesona Lembang </t>
  </si>
  <si>
    <t>PANGKAJENE DAN KEPULAUAN, 09 Agustus 2003 (22)</t>
  </si>
  <si>
    <t>Tidak ada</t>
  </si>
  <si>
    <t>+62 895-2444-7222</t>
  </si>
  <si>
    <t>arnhy.atirahman9@gmail.com</t>
  </si>
  <si>
    <t>- Belum berpengalaman
- Tidak upload foto, KTP, dan ijazah
- Tidak mendeskripsikan pekerjaan
- Memiliki HP android, memiliki motor dan bisa mengendarai</t>
  </si>
  <si>
    <t xml:space="preserve">YUNI PERMATA SARI </t>
  </si>
  <si>
    <t xml:space="preserve">JL KH DAENG LINGK BINANGA </t>
  </si>
  <si>
    <t>BONE, 15 Juni 2002 (23)</t>
  </si>
  <si>
    <t>Tidak Bekerja</t>
  </si>
  <si>
    <t>+62 821-5304-3966</t>
  </si>
  <si>
    <t>sarikodong2002@gmail.com</t>
  </si>
  <si>
    <t>- Belum berpengalaman
- Memiliki HP android, memiliki motor dan bisa mengendarai</t>
  </si>
  <si>
    <t>RESMAYANTI</t>
  </si>
  <si>
    <t>Jalan. Hasanuddin, BTN Talumung, Blok F/16, Kelurahan Baurung, Kecamatan Banggae Timur, Kabupaten Majene</t>
  </si>
  <si>
    <t>ENREKANG, 29 Januari 2004 (21)</t>
  </si>
  <si>
    <t>+62 857-5713-4135</t>
  </si>
  <si>
    <t>resmayantiresma2@gmail.com</t>
  </si>
  <si>
    <t>- Tidak upload foto
- Alamat domisili (Majene) tidak sesuai dengan KTP (non Majene)
- Belum berpengalaman
- Memiliki HP android, memiliki motor dan bisa mengendarai</t>
  </si>
  <si>
    <t>Fitria Pebriyanti Husain</t>
  </si>
  <si>
    <t>Kamp.baru</t>
  </si>
  <si>
    <t>MAKASSAR, 08 Februari 1996 (29)</t>
  </si>
  <si>
    <t>+62 852-5527-5678</t>
  </si>
  <si>
    <t>760123110001</t>
  </si>
  <si>
    <t>Febrifithe@gmail.com</t>
  </si>
  <si>
    <t>- Belum berpengalaman (sudah diterima sebagai mitra sejak 2024 tapi belum diajak kerja sama)
- Memiliki HP android, memiliki motor dan bisa mengendarai</t>
  </si>
  <si>
    <t>Siti Nur Azizah Ahmad</t>
  </si>
  <si>
    <t>Jl. AMD Lembang</t>
  </si>
  <si>
    <t>MAKASSAR, 20 Juli 2002 (23)</t>
  </si>
  <si>
    <t xml:space="preserve">Fresh graduate </t>
  </si>
  <si>
    <t>+62 852-9805-4789</t>
  </si>
  <si>
    <t>Sitinurazizahahmad@gmail.com</t>
  </si>
  <si>
    <t>- Tidak upload foto
- Alamat domisili (Banggae Timur) tidak sesuai dengan KTP (Sendana)
- Belum berpengalaman berdasarkan histori survei
- Memiliki HP android dan bisa mengendarai motor</t>
  </si>
  <si>
    <t>Sulastri</t>
  </si>
  <si>
    <t>Jl. Taufik Abdullah Tg. Batu timur</t>
  </si>
  <si>
    <t>PAREPARE, 01 Mei 1985 (40)</t>
  </si>
  <si>
    <t>Tamat D1/D2/D3</t>
  </si>
  <si>
    <t>+62 821-9501-2079</t>
  </si>
  <si>
    <t>760123110126</t>
  </si>
  <si>
    <t>lastry0105@gmail.com</t>
  </si>
  <si>
    <t>- Belum berpengalaman
- Memiliki HP android, tidak memiliki motor dan tidak bisa mengendarai
- Ditolak pada pendaftaran mitra tahun 2025 tahap seleksi</t>
  </si>
  <si>
    <t>Muhammad Mas'ud MS</t>
  </si>
  <si>
    <t xml:space="preserve">Jl. M. Djud. P. No. 47 RT 003 / RW 000 </t>
  </si>
  <si>
    <t>MAJENE, 13 Mei 1995 (30)</t>
  </si>
  <si>
    <t>+62 851-4636-8800</t>
  </si>
  <si>
    <t>msmuhammadmasud@gmail.com</t>
  </si>
  <si>
    <t>- Belum berpengalaman dengan BPS
- Tidak upload foto
- Memiliki HP android, memiliki motor dan bisa mengendarai
- Pernah bermitra dengan kantor pertanahan polman</t>
  </si>
  <si>
    <t>Dewi Afriani T</t>
  </si>
  <si>
    <t>Lingk. Labuang</t>
  </si>
  <si>
    <t>MAJENE, 17 April 2002 (23)</t>
  </si>
  <si>
    <t>+62 822-1125-4822</t>
  </si>
  <si>
    <t>dewiafrianit909@gmail.com</t>
  </si>
  <si>
    <t>- Tidak upload KTP dan ijazah
- Belum berpengalaman
- Memiliki HP android, memiliki motor, dan bisa mengendarai</t>
  </si>
  <si>
    <t>Muh Ajrun Asyari</t>
  </si>
  <si>
    <t xml:space="preserve">kost : RW.Lingk. Tunda Jl. Melati No.14, Labuang, Kec. Banggae Timur, Kabupaten Majene, Sulawesi Barat. </t>
  </si>
  <si>
    <t>MAJENE, 16 Mei 2004 (21)</t>
  </si>
  <si>
    <t>+62 821-8758-7810</t>
  </si>
  <si>
    <t>muhammadajrunasyari@gmail.com</t>
  </si>
  <si>
    <t>- Tidak upload foto
- Alamat domisili (Banggae Timur) berbeda dengan KTP (Tammerodo) karena sedang kos
- Belum berpengalaman
- Memiliki HP android, memiliki motor dan bisa mengendarai</t>
  </si>
  <si>
    <t>FAJRINSALIK</t>
  </si>
  <si>
    <t>Jln. K.h.umar gani link. Simullu</t>
  </si>
  <si>
    <t>MAJENE, 15 Mei 1998 (27)</t>
  </si>
  <si>
    <t>+62 857-5380-1571</t>
  </si>
  <si>
    <t>salikfajrin@gmail.com</t>
  </si>
  <si>
    <t>- Tidak upload foto
- Belum berpengalaman
- Memiliki HP andorid, memiliki motor dan bisa mengendarai
- Tidak bisa mengoperasikan komputer</t>
  </si>
  <si>
    <t>Adliyah</t>
  </si>
  <si>
    <t>Jln.k.h. umar gani, link.simullu</t>
  </si>
  <si>
    <t>MAJENE, 16 September 2003 (22)</t>
  </si>
  <si>
    <t>+62 856-9621-2114</t>
  </si>
  <si>
    <t>Adliyahsumardi@gmail.com</t>
  </si>
  <si>
    <t>- Tidak upload foto
- Belum berpengalaman
- Memiliki HP andorid, memiliki motor dan bisa mengendarai</t>
  </si>
  <si>
    <t xml:space="preserve">Muh Feizar Bakri </t>
  </si>
  <si>
    <t>Jl melati Lingk tunda</t>
  </si>
  <si>
    <t>MAJENE, 22 Mei 1998 (27)</t>
  </si>
  <si>
    <t>Belum ada pekerjaan</t>
  </si>
  <si>
    <t>+62 821-8762-4647</t>
  </si>
  <si>
    <t>760123110143</t>
  </si>
  <si>
    <t>feizarmjn@gmail.com</t>
  </si>
  <si>
    <t>- Belum berpengalaman
- Belum memiliki rekening (yang diupload E-Wallet)
- Memiliki HP android, memiliki motor dan bisa mengendarai
- Mengikuti perekrutan mitra sejak 2024, tapi ditolak pada tahap seleksi perekrutan mitra 2025</t>
  </si>
  <si>
    <t>AINUL BASHIRAH</t>
  </si>
  <si>
    <t>Lingk. Baruga</t>
  </si>
  <si>
    <t>MAJENE, 25 September 1995 (30)</t>
  </si>
  <si>
    <t>+62 812-4312-261</t>
  </si>
  <si>
    <t>760122090019</t>
  </si>
  <si>
    <t>ainulbashirah95@gmail.com</t>
  </si>
  <si>
    <t>- Berpengalaman
- Pengecekan status ASN di tahap wawancara</t>
  </si>
  <si>
    <t>Nurfadila</t>
  </si>
  <si>
    <t>Tunda, Jalan Melati ( Belakang gereja protestan ), Labuang Utara</t>
  </si>
  <si>
    <t>MAJENE, 01 Mei 2001 (24)</t>
  </si>
  <si>
    <t>+62 851-9829-1538</t>
  </si>
  <si>
    <t>760122050008</t>
  </si>
  <si>
    <t>dilladilla893@gmail.com</t>
  </si>
  <si>
    <t>- Alamat domisi (Banggae TImur) beda dengan KTP (Banggae)
- Berpengalaman
- Pengecekan status ASN di tahap wawancara</t>
  </si>
  <si>
    <t>Nazhirah Nur Isticharah</t>
  </si>
  <si>
    <t>BTN PEPABRI, LINGK. LEPPE BARAT</t>
  </si>
  <si>
    <t>MAJENE, 26 April 2001 (24)</t>
  </si>
  <si>
    <t>+62 852-9866-9586</t>
  </si>
  <si>
    <t>760123110128</t>
  </si>
  <si>
    <t>nazhirahnur04@gmail.com</t>
  </si>
  <si>
    <t>- Belum berpengalaman
- Bergabung sebagai mitra sejak 2024 tapi belum pernah diajak kerja sama</t>
  </si>
  <si>
    <t>Bambang Dwi Gunawan</t>
  </si>
  <si>
    <t>Jln. Kh. Muh. Shaleh, Kamp. Baru</t>
  </si>
  <si>
    <t>MAJENE, 06 September 1997 (28)</t>
  </si>
  <si>
    <t>Freelance</t>
  </si>
  <si>
    <t>+62 821-9676-4226</t>
  </si>
  <si>
    <t>760123110151</t>
  </si>
  <si>
    <t>bambangdwigunawan69@gmail.com</t>
  </si>
  <si>
    <t>- Belum berpengalaman
- Pembantu Operator Sekolah SMP Negeri Pasang (perlu dicek status ASN di tahap wawancara)
- Memiliki HP android, memiliki motor dan bisa mengendarai
- Pernah ditolak ada ST 2023</t>
  </si>
  <si>
    <t xml:space="preserve">Darmawan </t>
  </si>
  <si>
    <t xml:space="preserve">Jl. Jend sudirman No 122 </t>
  </si>
  <si>
    <t>MAJENE, 28 Mei 1999 (26)</t>
  </si>
  <si>
    <t>+62 853-9746-1530</t>
  </si>
  <si>
    <t>760123110157</t>
  </si>
  <si>
    <t>Da12mawan@gmail.com</t>
  </si>
  <si>
    <t>- Belum berpengalaman
- Memiliki HP android, memiliki motor dan bisa mengendarai
- Bergabung sebagai mitra sejak 2024
- Ditolak pada kegiatan lapangan dan pengolahan ST 2023</t>
  </si>
  <si>
    <t>Mutia khumaerah</t>
  </si>
  <si>
    <t>Simullu</t>
  </si>
  <si>
    <t>MAJENE, 13 Januari 2003 (22)</t>
  </si>
  <si>
    <t>Pekerja Freelance</t>
  </si>
  <si>
    <t>+62 853-4240-0727</t>
  </si>
  <si>
    <t>mutia.khumaerah@gmail.com</t>
  </si>
  <si>
    <t>- Tidak upload foto
- Belum berpengalaman
- Memiliki HP android, memiliki motor dan bisa mengendarai</t>
  </si>
  <si>
    <t>Indah Nuraeni</t>
  </si>
  <si>
    <t>Jl.Ammana Pattolawali No 30</t>
  </si>
  <si>
    <t>MAJENE, 05 November 2000 (25)</t>
  </si>
  <si>
    <t>Belum bekerja</t>
  </si>
  <si>
    <t>+62 877-7725-9301</t>
  </si>
  <si>
    <t>nuraeniindah157@gmail.com</t>
  </si>
  <si>
    <t>- Tidak upload foto, KTP
- Belum berpengalaman
- Tidak memiliki HP android
- Memiliki dan bisa mengendarai motor</t>
  </si>
  <si>
    <t>Muzammil</t>
  </si>
  <si>
    <t>Puawang</t>
  </si>
  <si>
    <t>005</t>
  </si>
  <si>
    <t>MAJENE, 21 Juni 2000 (25)</t>
  </si>
  <si>
    <t xml:space="preserve">Peternak Ayam Petelur/Petani </t>
  </si>
  <si>
    <t>+62 823-4814-8758</t>
  </si>
  <si>
    <t>muzammilcuy67@gmail.com</t>
  </si>
  <si>
    <t>- Tidak upload foto
- Memiliki HP android, memiliki dan bisa mengendarai motor
- Belum berpengalaman dengan BPS
- Cukup aktif dalam kegiatan sosial kemasyarakatan</t>
  </si>
  <si>
    <t>Nihla Israwati</t>
  </si>
  <si>
    <t>Jalan KH. Nuhung Desa Buttu Baruga</t>
  </si>
  <si>
    <t>009</t>
  </si>
  <si>
    <t>MAJENE, 26 Desember 2000 (25)</t>
  </si>
  <si>
    <t>Kader PKK / Karang Taruna / Kader Lainnya</t>
  </si>
  <si>
    <t>+62 813-4044-1562</t>
  </si>
  <si>
    <t>760123110071</t>
  </si>
  <si>
    <t>nihlawati00@gmail.com</t>
  </si>
  <si>
    <t>- Belum berpengalaman
- Tidak upload ijazah tetapi hanya SKL meskipun sudah wisuda Oktober 2023
- Memiliki HP andorid, memiliki motor dan bisa mengendarai
- Bergabung sebagai mitra sejak 2024 tapi belum diajak kerja sama</t>
  </si>
  <si>
    <t>Zulfia</t>
  </si>
  <si>
    <t>Lingkungan Sondong</t>
  </si>
  <si>
    <t>MAJENE, 26 Agustus 2001 (24)</t>
  </si>
  <si>
    <t>+62 831-4792-9332</t>
  </si>
  <si>
    <t>760123110199</t>
  </si>
  <si>
    <t>zulfiaaaa7@gmail.com</t>
  </si>
  <si>
    <t>- Berpengalaman
- Memiliki HP android, memiliki motor dan bisa mengendarai
- Terakhir bekerja sama pada Updating EA 2024</t>
  </si>
  <si>
    <t>MUH. FADLI</t>
  </si>
  <si>
    <t>LINGK. LAYONGA</t>
  </si>
  <si>
    <t>MAJENE, 22 Juni 2000 (25)</t>
  </si>
  <si>
    <t>+62 082-3474-18131</t>
  </si>
  <si>
    <t>760123110190</t>
  </si>
  <si>
    <t>fadlilukman.career@gmail.com</t>
  </si>
  <si>
    <t>- Memiliki HP android, memiliki motor dan bisa mengendarai
- Berpengalaman sejak 2024</t>
  </si>
  <si>
    <t>Muhammad Naufal Ramlan</t>
  </si>
  <si>
    <t>Jl.Wolter Monginsidi No 60, Labuang Utara, Banggae Timur, Kab Majene</t>
  </si>
  <si>
    <t>MAJENE, 10 April 2002 (23)</t>
  </si>
  <si>
    <t>Resepsionis di Penginapan B'NUSABILA</t>
  </si>
  <si>
    <t>+62 823-4848-1067</t>
  </si>
  <si>
    <t>760123110243</t>
  </si>
  <si>
    <t>naufalm2456@gmail.com</t>
  </si>
  <si>
    <t>- Memiliki HP android, memiliki motor dan bisa mengendarai
- Bergabung sebagai mitra sejak 2024
- Ditolak pada ST 2023 dan tahap seleksi perekrutan mitra 2025</t>
  </si>
  <si>
    <t xml:space="preserve">Aulya Atika Mahgfirah </t>
  </si>
  <si>
    <t>Jl. Lettu Muh. Yamin</t>
  </si>
  <si>
    <t>MAJENE, 31 Oktober 2002 (23)</t>
  </si>
  <si>
    <t>+62 851-5673-6182</t>
  </si>
  <si>
    <t>760123110176</t>
  </si>
  <si>
    <t>auliaatikamagfirah31@gmail.com</t>
  </si>
  <si>
    <t>ISRATUL ISLAMIYAH</t>
  </si>
  <si>
    <t>Jln. M. Djud. P. (Depan masjid Nurul Irfan Parappe)</t>
  </si>
  <si>
    <t>MAJENE, 26 Juli 1998 (27)</t>
  </si>
  <si>
    <t>+62 085-3421-49509</t>
  </si>
  <si>
    <t>760123060003</t>
  </si>
  <si>
    <t>isratulislamiyah@gmail.com</t>
  </si>
  <si>
    <t>- Memiliki HP android, memiliki motor dan bisa mengendarai
- Berpengalaman sejak 2023</t>
  </si>
  <si>
    <t>Asmania Husman</t>
  </si>
  <si>
    <t xml:space="preserve">Perumahan Al-Ikhlas blok D-9 </t>
  </si>
  <si>
    <t>MAJENE, 12 Januari 2001 (24)</t>
  </si>
  <si>
    <t>+62 812-5508-9447</t>
  </si>
  <si>
    <t>asmaniahusman9@gmail.com</t>
  </si>
  <si>
    <t>- Tidak upload foto
- Memiliki HP android, memiliki dan bisa mengendarai motor
- Belum berpengalaman</t>
  </si>
  <si>
    <t>Azizah Putri Aulia</t>
  </si>
  <si>
    <t>Jalan Jend. Sudirman No. 159, Lembang</t>
  </si>
  <si>
    <t>MAJENE, 05 Oktober 2003 (22)</t>
  </si>
  <si>
    <t>+62 857-8376-6084</t>
  </si>
  <si>
    <t>azizahputriaulia513@gmail.com</t>
  </si>
  <si>
    <t>Husnilawati rahmat</t>
  </si>
  <si>
    <t>Lingkungan tamo</t>
  </si>
  <si>
    <t>MAJENE, 06 Juni 1990 (35)</t>
  </si>
  <si>
    <t>Hinorer</t>
  </si>
  <si>
    <t>+62 853-6397-9909</t>
  </si>
  <si>
    <t>760123020014</t>
  </si>
  <si>
    <t>Husnilawatirahmat@gmail.com</t>
  </si>
  <si>
    <t>- Pekerjaan honorer di dinas PU
- Memiliki HP android, memiliki dan bisa mengendarai motor
- Berpengalaman sejak 2023</t>
  </si>
  <si>
    <t>TUTI ALAWIAH</t>
  </si>
  <si>
    <t xml:space="preserve">Jl. Muh Saleh Bone No 1 </t>
  </si>
  <si>
    <t>MAJENE, 16 Desember 1997 (28)</t>
  </si>
  <si>
    <t>+62 823-3339-6164</t>
  </si>
  <si>
    <t>760123110037</t>
  </si>
  <si>
    <t>tuthytuti21@gmail.com</t>
  </si>
  <si>
    <t>- Memiliki HP android, memiliki dan bisa mengendarai motor
- Belum berpengalaman
- Bergabung sebagai mitra sejak 2024 tapi belum diajak kerja sama
- Pernah ditolak pada ST 2023</t>
  </si>
  <si>
    <t>Jasmiati</t>
  </si>
  <si>
    <t>LINGK. BARUGA</t>
  </si>
  <si>
    <t>MAJENE, 29 Desember 1999 (26)</t>
  </si>
  <si>
    <t>+62 821-5185-6811</t>
  </si>
  <si>
    <t>760123110072</t>
  </si>
  <si>
    <t>jasmiatijasmi71@gmail.com</t>
  </si>
  <si>
    <t>- Tidak upload ijazah dan KTP
- Memiliki HP android, memiliki dan bisa mengenderai motor
- Bergabung sebagai mitra sejak 2024 tapi belum pernah diajak kerja sama</t>
  </si>
  <si>
    <t>Arham Nanda</t>
  </si>
  <si>
    <t>LINGK.TAMO DHUA</t>
  </si>
  <si>
    <t>MAJENE, 15 Februari 2000 (25)</t>
  </si>
  <si>
    <t>Staf Samsat Majene Dan Patralih Pendataan pemilihan 2024</t>
  </si>
  <si>
    <t>+62 085-3941-84732</t>
  </si>
  <si>
    <t>arhamnanda61@gmail.com</t>
  </si>
  <si>
    <t>- Memiliki HP android, memiliki dan bisa mengenderai motor
- Ditolak pada tahap seleksi mitra 2024
- Staf Samsat Majene Dan Patralih Pendataan pemilihan 2024</t>
  </si>
  <si>
    <t>Suharno</t>
  </si>
  <si>
    <t>Lingkungan Pangale Kelurahan Baurung Kecamatan Banggae Timur Kabupaten Majene</t>
  </si>
  <si>
    <t>MAJENE, 30 Desember 1988 (37)</t>
  </si>
  <si>
    <t>+62 085-2472-55501</t>
  </si>
  <si>
    <t>760122030007</t>
  </si>
  <si>
    <t>nunolaskardesa@gmail.com</t>
  </si>
  <si>
    <t>- Foto tidak sesuai
- Tidak upload ijazah
- Memiliki HP android, memiliki motor dan bisa mengendarai
- Berpengalaman sejak LF-SP 2020</t>
  </si>
  <si>
    <t>Asnuddin</t>
  </si>
  <si>
    <t>BTN Adzalina Lembang Blok N No.10 Baurung, Banggae Timur, kab Majene</t>
  </si>
  <si>
    <t>MAJENE, 06 Maret 1999 (26)</t>
  </si>
  <si>
    <t>Pegawai / Guru Honorer</t>
  </si>
  <si>
    <t>+62 087-7041-90101</t>
  </si>
  <si>
    <t>760122110005</t>
  </si>
  <si>
    <t>asnuddinudin8@gmail.com</t>
  </si>
  <si>
    <t>- Alamat domisili (Banggae TImur) beda dengan KTP (Sendana)
- Berpengalaman sejak Regsosek 2022
- Pekerjaan: Pegawai / Guru Honorer
- Memiliki HP android, memiliki motor dan bisa mengendarai</t>
  </si>
  <si>
    <t>Chairunnisa</t>
  </si>
  <si>
    <t>Jl. KH DAENG NO 43 TG BATU</t>
  </si>
  <si>
    <t>MAJENE, 21 September 2004 (21)</t>
  </si>
  <si>
    <t>+62 821-9534-9743</t>
  </si>
  <si>
    <t>08156nisa@gmail.com</t>
  </si>
  <si>
    <t>- Memiliki HP android, memiliki dan bisa mengendarai motor
- Belum berpengalaman dengan BPS
- Berpengalaman pada penelitian waste survavior tentang penanganan sampah di kecamatan binuang dan polewali sebanyak 450 responden dan kegiatan yang dilakukan BRIN 2023</t>
  </si>
  <si>
    <t>Sari Halima Tussa' Diyah, SE</t>
  </si>
  <si>
    <t>Jl. Lanto Dg. Pasewang No. 16 Lingk. Lipu</t>
  </si>
  <si>
    <t>MAJENE, 15 Mei 1993 (32)</t>
  </si>
  <si>
    <t>+62 852-5585-8297</t>
  </si>
  <si>
    <t>760122030022</t>
  </si>
  <si>
    <t>sarishary042@gmail.com</t>
  </si>
  <si>
    <t>- Memiliki HP android, memiliki dan bisa mengendarai motor
- Berpengalaman sejak LF-SP 2020 dan kerja sama terakhir ST 2023
- Ditolak pada tahap seleksi perekrutan mitra 2025</t>
  </si>
  <si>
    <t>Azwar M.</t>
  </si>
  <si>
    <t>JL. Dr. sam Ratulangi</t>
  </si>
  <si>
    <t>MAJENE, 01 Juli 1994 (31)</t>
  </si>
  <si>
    <t>+62 082-3497-07818</t>
  </si>
  <si>
    <t>760122030013</t>
  </si>
  <si>
    <t>azwarmahyuddin88@gmail.com</t>
  </si>
  <si>
    <t>- Memiliki HP android, memiliki dan bisa mengendarai motor
- Berpengalaman sejak LF-SP 2020 dan kerja sama terakhir SAKERNAS 2024
- Ditolak pada tahap seleksi perekrutan mitra 2025</t>
  </si>
  <si>
    <t>Nur Wahida</t>
  </si>
  <si>
    <t>BTN Mutiara Adzalina Lingkungan Lembang Kelurahan Lembang Kecamatan Banggae Timur Kabupaten Majene</t>
  </si>
  <si>
    <t>POLEWALI MANDAR, 26 Mei 2000 (25)</t>
  </si>
  <si>
    <t>+62 085-1439-07821</t>
  </si>
  <si>
    <t>760123060017</t>
  </si>
  <si>
    <t>nrwahidaar26@gmail.com</t>
  </si>
  <si>
    <t>- Foto KTP dan surat keterangan domisili terlalu kecil
- Foto  tidak sesuai
- Memiliki HP android, memiliki motor dan bisa mengendarai
- Bergabung sebagai mitra sejak 2023 tapi kerja sama terakhir di ST 2023</t>
  </si>
  <si>
    <t>Muh. Irham Noor</t>
  </si>
  <si>
    <t>Link. Segeri</t>
  </si>
  <si>
    <t>POLEWALI MANDAR, 26 Mei 1995 (30)</t>
  </si>
  <si>
    <t>+62 852-5609-3338</t>
  </si>
  <si>
    <t>760123060004</t>
  </si>
  <si>
    <t>muhammadirhamnoor@gmail.com</t>
  </si>
  <si>
    <t>- Tidak upload ijazah
- Memiliki HP android, memiliki motor dan bisa mengendarai
- Berpengalaman</t>
  </si>
  <si>
    <t>Muslimin</t>
  </si>
  <si>
    <t>Jalan Sultan Hasanuddin (Poros Majene) Kel. Tande Timur, Kec. Banggae Timur, Kab. Majene</t>
  </si>
  <si>
    <t>008</t>
  </si>
  <si>
    <t>POLEWALI MANDAR, 24 Februari 2000 (25)</t>
  </si>
  <si>
    <t>Tamat S2</t>
  </si>
  <si>
    <t>Dosen LB</t>
  </si>
  <si>
    <t>+62 812-4570-9619</t>
  </si>
  <si>
    <t>muslymink@gmail.com</t>
  </si>
  <si>
    <t>- Tidak upload foto
- Alamat domisili (Banggae TImur) tidak sesuai dengan KTP (Kalukku, Mamuju)
- TIdak ada suket domisili
- Belum berpengalaman berdasarkan histori survei
- Memiliki HP android dan bisa mengendarai motor
- Pekerjaan Dosen</t>
  </si>
  <si>
    <t>Nurul hikma noor</t>
  </si>
  <si>
    <t>Lingk. Segeri</t>
  </si>
  <si>
    <t>POLEWALI MANDAR, 27 Oktober 1998 (27)</t>
  </si>
  <si>
    <t>+62 852-5645-0085</t>
  </si>
  <si>
    <t>nurulhikmanoor27oct@gmail.com</t>
  </si>
  <si>
    <t xml:space="preserve">MUHRIFAH </t>
  </si>
  <si>
    <t xml:space="preserve">Simullu </t>
  </si>
  <si>
    <t>PASANGKAYU, 01 Maret 2001 (24)</t>
  </si>
  <si>
    <t xml:space="preserve">Pekerjaan freelance </t>
  </si>
  <si>
    <t>+62 858-2375-9457</t>
  </si>
  <si>
    <t>iphoharuna@gmail.com</t>
  </si>
  <si>
    <t>Alma Riski</t>
  </si>
  <si>
    <t>Baurung, Banggar Timur, Majene</t>
  </si>
  <si>
    <t>PASANGKAYU, 11 Desember 2006 (19)</t>
  </si>
  <si>
    <t>+62 822-9157-2557</t>
  </si>
  <si>
    <t>alma95697@gmail.com</t>
  </si>
  <si>
    <t>- Tidak upload foto, KTP, dan ijazah
- Memiliki HP android, memiliki dan bisa mengendarai motor
- Belum berpengalaman
- Alamat domisili (Banggae Timur, Majene) berbeda dengan NIK (Pasangkayu)</t>
  </si>
  <si>
    <t>telpon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</si>
</sst>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charset val="1"/>
      <scheme val="minor"/>
    </font>
    <font>
      <b/>
      <sz val="11"/>
      <color theme="1"/>
      <name val="Calibri"/>
      <family val="2"/>
    </font>
    <font>
      <b/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0" xfId="0" applyFont="1"/>
    <xf numFmtId="0" fontId="5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AF64E-DC4F-8246-A904-D029A2F3E69F}">
  <dimension ref="A1:T58"/>
  <sheetViews>
    <sheetView tabSelected="1" topLeftCell="B1" workbookViewId="0">
      <selection activeCell="T1" sqref="T1"/>
    </sheetView>
  </sheetViews>
  <sheetFormatPr baseColWidth="10" defaultRowHeight="16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3" t="s">
        <v>427</v>
      </c>
    </row>
    <row r="2" spans="1:20" x14ac:dyDescent="0.2">
      <c r="A2" s="4" t="s">
        <v>19</v>
      </c>
      <c r="B2" s="4"/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4" t="s">
        <v>29</v>
      </c>
      <c r="M2" s="4" t="s">
        <v>30</v>
      </c>
      <c r="N2" s="4" t="s">
        <v>31</v>
      </c>
      <c r="O2" s="4" t="s">
        <v>32</v>
      </c>
      <c r="P2" s="4" t="s">
        <v>33</v>
      </c>
      <c r="Q2" s="4" t="s">
        <v>34</v>
      </c>
      <c r="R2" s="5" t="s">
        <v>35</v>
      </c>
      <c r="S2" s="5" t="s">
        <v>36</v>
      </c>
      <c r="T2" s="6" t="str">
        <f ca="1">IFERROR(__xludf.DUMMYFUNCTION("REGEXREPLACE(REGEXREPLACE(O2, ""[^0-9]"", """"), ""^620"", ""62"")"),"6281343900862")</f>
        <v>6281343900862</v>
      </c>
    </row>
    <row r="3" spans="1:20" x14ac:dyDescent="0.2">
      <c r="A3" s="4" t="s">
        <v>37</v>
      </c>
      <c r="B3" s="4"/>
      <c r="C3" s="4" t="s">
        <v>20</v>
      </c>
      <c r="D3" s="4" t="s">
        <v>21</v>
      </c>
      <c r="E3" s="4" t="s">
        <v>38</v>
      </c>
      <c r="F3" s="4" t="s">
        <v>23</v>
      </c>
      <c r="G3" s="4" t="s">
        <v>24</v>
      </c>
      <c r="H3" s="4" t="s">
        <v>25</v>
      </c>
      <c r="I3" s="4" t="s">
        <v>39</v>
      </c>
      <c r="J3" s="4" t="s">
        <v>40</v>
      </c>
      <c r="K3" s="4" t="s">
        <v>41</v>
      </c>
      <c r="L3" s="4" t="s">
        <v>42</v>
      </c>
      <c r="M3" s="4" t="s">
        <v>43</v>
      </c>
      <c r="N3" s="4"/>
      <c r="O3" s="4" t="s">
        <v>44</v>
      </c>
      <c r="P3" s="4"/>
      <c r="Q3" s="4" t="s">
        <v>45</v>
      </c>
      <c r="R3" s="5" t="s">
        <v>46</v>
      </c>
      <c r="S3" s="5" t="s">
        <v>47</v>
      </c>
      <c r="T3" s="6" t="str">
        <f ca="1">IFERROR(__xludf.DUMMYFUNCTION("REGEXREPLACE(REGEXREPLACE(O3, ""[^0-9]"", """"), ""^620"", ""62"")"),"6285232544995")</f>
        <v>6285232544995</v>
      </c>
    </row>
    <row r="4" spans="1:20" x14ac:dyDescent="0.2">
      <c r="A4" s="4" t="s">
        <v>48</v>
      </c>
      <c r="B4" s="4"/>
      <c r="C4" s="4" t="s">
        <v>20</v>
      </c>
      <c r="D4" s="4" t="s">
        <v>49</v>
      </c>
      <c r="E4" s="4" t="s">
        <v>50</v>
      </c>
      <c r="F4" s="4" t="s">
        <v>23</v>
      </c>
      <c r="G4" s="4" t="s">
        <v>24</v>
      </c>
      <c r="H4" s="4" t="s">
        <v>25</v>
      </c>
      <c r="I4" s="4" t="s">
        <v>51</v>
      </c>
      <c r="J4" s="4" t="s">
        <v>52</v>
      </c>
      <c r="K4" s="4" t="s">
        <v>41</v>
      </c>
      <c r="L4" s="4" t="s">
        <v>42</v>
      </c>
      <c r="M4" s="4" t="s">
        <v>53</v>
      </c>
      <c r="N4" s="4"/>
      <c r="O4" s="4" t="s">
        <v>54</v>
      </c>
      <c r="P4" s="4"/>
      <c r="Q4" s="4" t="s">
        <v>55</v>
      </c>
      <c r="R4" s="5" t="s">
        <v>56</v>
      </c>
      <c r="S4" s="5" t="s">
        <v>57</v>
      </c>
      <c r="T4" s="6" t="str">
        <f ca="1">IFERROR(__xludf.DUMMYFUNCTION("REGEXREPLACE(REGEXREPLACE(O4, ""[^0-9]"", """"), ""^620"", ""62"")"),"6282335450967")</f>
        <v>6282335450967</v>
      </c>
    </row>
    <row r="5" spans="1:20" x14ac:dyDescent="0.2">
      <c r="A5" s="4" t="s">
        <v>58</v>
      </c>
      <c r="B5" s="4"/>
      <c r="C5" s="4" t="s">
        <v>20</v>
      </c>
      <c r="D5" s="4" t="s">
        <v>49</v>
      </c>
      <c r="E5" s="4" t="s">
        <v>59</v>
      </c>
      <c r="F5" s="4" t="s">
        <v>23</v>
      </c>
      <c r="G5" s="4" t="s">
        <v>24</v>
      </c>
      <c r="H5" s="4" t="s">
        <v>25</v>
      </c>
      <c r="I5" s="4" t="s">
        <v>51</v>
      </c>
      <c r="J5" s="4" t="s">
        <v>60</v>
      </c>
      <c r="K5" s="4" t="s">
        <v>28</v>
      </c>
      <c r="L5" s="4" t="s">
        <v>42</v>
      </c>
      <c r="M5" s="4" t="s">
        <v>30</v>
      </c>
      <c r="N5" s="4" t="s">
        <v>61</v>
      </c>
      <c r="O5" s="4" t="s">
        <v>62</v>
      </c>
      <c r="P5" s="4"/>
      <c r="Q5" s="4" t="s">
        <v>63</v>
      </c>
      <c r="R5" s="5" t="s">
        <v>56</v>
      </c>
      <c r="S5" s="5" t="s">
        <v>57</v>
      </c>
      <c r="T5" s="6" t="str">
        <f ca="1">IFERROR(__xludf.DUMMYFUNCTION("REGEXREPLACE(REGEXREPLACE(O5, ""[^0-9]"", """"), ""^620"", ""62"")"),"6282191794903")</f>
        <v>6282191794903</v>
      </c>
    </row>
    <row r="6" spans="1:20" x14ac:dyDescent="0.2">
      <c r="A6" s="4" t="s">
        <v>64</v>
      </c>
      <c r="B6" s="4"/>
      <c r="C6" s="4" t="s">
        <v>20</v>
      </c>
      <c r="D6" s="4" t="s">
        <v>49</v>
      </c>
      <c r="E6" s="4" t="s">
        <v>65</v>
      </c>
      <c r="F6" s="4" t="s">
        <v>23</v>
      </c>
      <c r="G6" s="4" t="s">
        <v>24</v>
      </c>
      <c r="H6" s="4" t="s">
        <v>25</v>
      </c>
      <c r="I6" s="4" t="s">
        <v>66</v>
      </c>
      <c r="J6" s="4" t="s">
        <v>67</v>
      </c>
      <c r="K6" s="4" t="s">
        <v>41</v>
      </c>
      <c r="L6" s="4" t="s">
        <v>42</v>
      </c>
      <c r="M6" s="4" t="s">
        <v>30</v>
      </c>
      <c r="N6" s="4" t="s">
        <v>68</v>
      </c>
      <c r="O6" s="4" t="s">
        <v>69</v>
      </c>
      <c r="P6" s="4"/>
      <c r="Q6" s="4" t="s">
        <v>70</v>
      </c>
      <c r="R6" s="5" t="s">
        <v>56</v>
      </c>
      <c r="S6" s="5" t="s">
        <v>57</v>
      </c>
      <c r="T6" s="6" t="str">
        <f ca="1">IFERROR(__xludf.DUMMYFUNCTION("REGEXREPLACE(REGEXREPLACE(O6, ""[^0-9]"", """"), ""^620"", ""62"")"),"6282348148653")</f>
        <v>6282348148653</v>
      </c>
    </row>
    <row r="7" spans="1:20" x14ac:dyDescent="0.2">
      <c r="A7" s="4" t="s">
        <v>71</v>
      </c>
      <c r="B7" s="4"/>
      <c r="C7" s="4" t="s">
        <v>20</v>
      </c>
      <c r="D7" s="4" t="s">
        <v>21</v>
      </c>
      <c r="E7" s="4" t="s">
        <v>72</v>
      </c>
      <c r="F7" s="4" t="s">
        <v>23</v>
      </c>
      <c r="G7" s="4" t="s">
        <v>24</v>
      </c>
      <c r="H7" s="4" t="s">
        <v>25</v>
      </c>
      <c r="I7" s="4" t="s">
        <v>73</v>
      </c>
      <c r="J7" s="4" t="s">
        <v>74</v>
      </c>
      <c r="K7" s="4" t="s">
        <v>41</v>
      </c>
      <c r="L7" s="4" t="s">
        <v>42</v>
      </c>
      <c r="M7" s="4" t="s">
        <v>53</v>
      </c>
      <c r="N7" s="4"/>
      <c r="O7" s="4" t="s">
        <v>75</v>
      </c>
      <c r="P7" s="4"/>
      <c r="Q7" s="4" t="s">
        <v>76</v>
      </c>
      <c r="R7" s="5" t="s">
        <v>56</v>
      </c>
      <c r="S7" s="5" t="s">
        <v>57</v>
      </c>
      <c r="T7" s="6" t="str">
        <f ca="1">IFERROR(__xludf.DUMMYFUNCTION("REGEXREPLACE(REGEXREPLACE(O7, ""[^0-9]"", """"), ""^620"", ""62"")"),"6281354697096")</f>
        <v>6281354697096</v>
      </c>
    </row>
    <row r="8" spans="1:20" x14ac:dyDescent="0.2">
      <c r="A8" s="4" t="s">
        <v>77</v>
      </c>
      <c r="B8" s="4"/>
      <c r="C8" s="4" t="s">
        <v>20</v>
      </c>
      <c r="D8" s="4" t="s">
        <v>21</v>
      </c>
      <c r="E8" s="4" t="s">
        <v>78</v>
      </c>
      <c r="F8" s="4" t="s">
        <v>23</v>
      </c>
      <c r="G8" s="4" t="s">
        <v>24</v>
      </c>
      <c r="H8" s="4" t="s">
        <v>25</v>
      </c>
      <c r="I8" s="4" t="s">
        <v>39</v>
      </c>
      <c r="J8" s="4" t="s">
        <v>79</v>
      </c>
      <c r="K8" s="4" t="s">
        <v>41</v>
      </c>
      <c r="L8" s="4" t="s">
        <v>42</v>
      </c>
      <c r="M8" s="4" t="s">
        <v>53</v>
      </c>
      <c r="N8" s="4"/>
      <c r="O8" s="4" t="s">
        <v>80</v>
      </c>
      <c r="P8" s="4"/>
      <c r="Q8" s="4" t="s">
        <v>81</v>
      </c>
      <c r="R8" s="5" t="s">
        <v>56</v>
      </c>
      <c r="S8" s="5" t="s">
        <v>57</v>
      </c>
      <c r="T8" s="6" t="str">
        <f ca="1">IFERROR(__xludf.DUMMYFUNCTION("REGEXREPLACE(REGEXREPLACE(O8, ""[^0-9]"", """"), ""^620"", ""62"")"),"6285232135780")</f>
        <v>6285232135780</v>
      </c>
    </row>
    <row r="9" spans="1:20" x14ac:dyDescent="0.2">
      <c r="A9" s="4" t="s">
        <v>82</v>
      </c>
      <c r="B9" s="4"/>
      <c r="C9" s="4" t="s">
        <v>20</v>
      </c>
      <c r="D9" s="4" t="s">
        <v>49</v>
      </c>
      <c r="E9" s="4" t="s">
        <v>83</v>
      </c>
      <c r="F9" s="4" t="s">
        <v>23</v>
      </c>
      <c r="G9" s="4" t="s">
        <v>24</v>
      </c>
      <c r="H9" s="4" t="s">
        <v>25</v>
      </c>
      <c r="I9" s="4" t="s">
        <v>66</v>
      </c>
      <c r="J9" s="4" t="s">
        <v>84</v>
      </c>
      <c r="K9" s="4" t="s">
        <v>41</v>
      </c>
      <c r="L9" s="4" t="s">
        <v>29</v>
      </c>
      <c r="M9" s="4" t="s">
        <v>85</v>
      </c>
      <c r="N9" s="4"/>
      <c r="O9" s="4" t="s">
        <v>86</v>
      </c>
      <c r="P9" s="4" t="s">
        <v>87</v>
      </c>
      <c r="Q9" s="4" t="s">
        <v>88</v>
      </c>
      <c r="R9" s="5" t="s">
        <v>46</v>
      </c>
      <c r="S9" s="5" t="s">
        <v>89</v>
      </c>
      <c r="T9" s="6" t="str">
        <f ca="1">IFERROR(__xludf.DUMMYFUNCTION("REGEXREPLACE(REGEXREPLACE(O9, ""[^0-9]"", """"), ""^620"", ""62"")"),"6281244325756")</f>
        <v>6281244325756</v>
      </c>
    </row>
    <row r="10" spans="1:20" x14ac:dyDescent="0.2">
      <c r="A10" s="4" t="s">
        <v>90</v>
      </c>
      <c r="B10" s="4"/>
      <c r="C10" s="4" t="s">
        <v>20</v>
      </c>
      <c r="D10" s="4" t="s">
        <v>91</v>
      </c>
      <c r="E10" s="4" t="s">
        <v>92</v>
      </c>
      <c r="F10" s="4" t="s">
        <v>23</v>
      </c>
      <c r="G10" s="4" t="s">
        <v>24</v>
      </c>
      <c r="H10" s="4" t="s">
        <v>25</v>
      </c>
      <c r="I10" s="4" t="s">
        <v>73</v>
      </c>
      <c r="J10" s="4" t="s">
        <v>93</v>
      </c>
      <c r="K10" s="4" t="s">
        <v>41</v>
      </c>
      <c r="L10" s="4" t="s">
        <v>42</v>
      </c>
      <c r="M10" s="4" t="s">
        <v>43</v>
      </c>
      <c r="N10" s="4"/>
      <c r="O10" s="4" t="s">
        <v>94</v>
      </c>
      <c r="P10" s="4"/>
      <c r="Q10" s="4" t="s">
        <v>95</v>
      </c>
      <c r="R10" s="5" t="s">
        <v>46</v>
      </c>
      <c r="S10" s="5" t="s">
        <v>96</v>
      </c>
      <c r="T10" s="6" t="str">
        <f ca="1">IFERROR(__xludf.DUMMYFUNCTION("REGEXREPLACE(REGEXREPLACE(O10, ""[^0-9]"", """"), ""^620"", ""62"")"),"6282187302710")</f>
        <v>6282187302710</v>
      </c>
    </row>
    <row r="11" spans="1:20" x14ac:dyDescent="0.2">
      <c r="A11" s="4" t="s">
        <v>97</v>
      </c>
      <c r="B11" s="4"/>
      <c r="C11" s="4" t="s">
        <v>20</v>
      </c>
      <c r="D11" s="4" t="s">
        <v>21</v>
      </c>
      <c r="E11" s="4" t="s">
        <v>98</v>
      </c>
      <c r="F11" s="4" t="s">
        <v>23</v>
      </c>
      <c r="G11" s="4" t="s">
        <v>24</v>
      </c>
      <c r="H11" s="4" t="s">
        <v>25</v>
      </c>
      <c r="I11" s="4" t="s">
        <v>39</v>
      </c>
      <c r="J11" s="4" t="s">
        <v>99</v>
      </c>
      <c r="K11" s="4" t="s">
        <v>28</v>
      </c>
      <c r="L11" s="4" t="s">
        <v>42</v>
      </c>
      <c r="M11" s="4" t="s">
        <v>43</v>
      </c>
      <c r="N11" s="4"/>
      <c r="O11" s="4" t="s">
        <v>100</v>
      </c>
      <c r="P11" s="4"/>
      <c r="Q11" s="4" t="s">
        <v>101</v>
      </c>
      <c r="R11" s="5" t="s">
        <v>46</v>
      </c>
      <c r="S11" s="5" t="s">
        <v>102</v>
      </c>
      <c r="T11" s="6" t="str">
        <f ca="1">IFERROR(__xludf.DUMMYFUNCTION("REGEXREPLACE(REGEXREPLACE(O11, ""[^0-9]"", """"), ""^620"", ""62"")"),"6282291122557")</f>
        <v>6282291122557</v>
      </c>
    </row>
    <row r="12" spans="1:20" x14ac:dyDescent="0.2">
      <c r="A12" s="4" t="s">
        <v>103</v>
      </c>
      <c r="B12" s="4"/>
      <c r="C12" s="4" t="s">
        <v>20</v>
      </c>
      <c r="D12" s="4" t="s">
        <v>21</v>
      </c>
      <c r="E12" s="4" t="s">
        <v>104</v>
      </c>
      <c r="F12" s="4" t="s">
        <v>23</v>
      </c>
      <c r="G12" s="4" t="s">
        <v>24</v>
      </c>
      <c r="H12" s="4" t="s">
        <v>25</v>
      </c>
      <c r="I12" s="4" t="s">
        <v>66</v>
      </c>
      <c r="J12" s="4" t="s">
        <v>105</v>
      </c>
      <c r="K12" s="4" t="s">
        <v>41</v>
      </c>
      <c r="L12" s="4" t="s">
        <v>29</v>
      </c>
      <c r="M12" s="4" t="s">
        <v>53</v>
      </c>
      <c r="N12" s="4"/>
      <c r="O12" s="4" t="s">
        <v>106</v>
      </c>
      <c r="P12" s="4" t="s">
        <v>107</v>
      </c>
      <c r="Q12" s="4" t="s">
        <v>108</v>
      </c>
      <c r="R12" s="5" t="s">
        <v>35</v>
      </c>
      <c r="S12" s="5" t="s">
        <v>109</v>
      </c>
      <c r="T12" s="6" t="str">
        <f ca="1">IFERROR(__xludf.DUMMYFUNCTION("REGEXREPLACE(REGEXREPLACE(O12, ""[^0-9]"", """"), ""^620"", ""62"")"),"6285394144072")</f>
        <v>6285394144072</v>
      </c>
    </row>
    <row r="13" spans="1:20" x14ac:dyDescent="0.2">
      <c r="A13" s="4" t="s">
        <v>110</v>
      </c>
      <c r="B13" s="4"/>
      <c r="C13" s="4" t="s">
        <v>20</v>
      </c>
      <c r="D13" s="4" t="s">
        <v>49</v>
      </c>
      <c r="E13" s="4" t="s">
        <v>111</v>
      </c>
      <c r="F13" s="4" t="s">
        <v>23</v>
      </c>
      <c r="G13" s="4" t="s">
        <v>24</v>
      </c>
      <c r="H13" s="4" t="s">
        <v>25</v>
      </c>
      <c r="I13" s="4" t="s">
        <v>73</v>
      </c>
      <c r="J13" s="4" t="s">
        <v>112</v>
      </c>
      <c r="K13" s="4" t="s">
        <v>28</v>
      </c>
      <c r="L13" s="4" t="s">
        <v>42</v>
      </c>
      <c r="M13" s="4" t="s">
        <v>85</v>
      </c>
      <c r="N13" s="4"/>
      <c r="O13" s="4" t="s">
        <v>113</v>
      </c>
      <c r="P13" s="4" t="s">
        <v>114</v>
      </c>
      <c r="Q13" s="4" t="s">
        <v>115</v>
      </c>
      <c r="R13" s="5" t="s">
        <v>46</v>
      </c>
      <c r="S13" s="5" t="s">
        <v>116</v>
      </c>
      <c r="T13" s="6" t="str">
        <f ca="1">IFERROR(__xludf.DUMMYFUNCTION("REGEXREPLACE(REGEXREPLACE(O13, ""[^0-9]"", """"), ""^620"", ""62"")"),"6285157054558")</f>
        <v>6285157054558</v>
      </c>
    </row>
    <row r="14" spans="1:20" x14ac:dyDescent="0.2">
      <c r="A14" s="4" t="s">
        <v>117</v>
      </c>
      <c r="B14" s="4"/>
      <c r="C14" s="4" t="s">
        <v>20</v>
      </c>
      <c r="D14" s="4" t="s">
        <v>49</v>
      </c>
      <c r="E14" s="4" t="s">
        <v>118</v>
      </c>
      <c r="F14" s="4" t="s">
        <v>23</v>
      </c>
      <c r="G14" s="4" t="s">
        <v>24</v>
      </c>
      <c r="H14" s="4" t="s">
        <v>25</v>
      </c>
      <c r="I14" s="4" t="s">
        <v>39</v>
      </c>
      <c r="J14" s="4" t="s">
        <v>119</v>
      </c>
      <c r="K14" s="4" t="s">
        <v>41</v>
      </c>
      <c r="L14" s="4" t="s">
        <v>29</v>
      </c>
      <c r="M14" s="4" t="s">
        <v>85</v>
      </c>
      <c r="N14" s="4"/>
      <c r="O14" s="4" t="s">
        <v>120</v>
      </c>
      <c r="P14" s="4" t="s">
        <v>121</v>
      </c>
      <c r="Q14" s="4" t="s">
        <v>122</v>
      </c>
      <c r="R14" s="5" t="s">
        <v>46</v>
      </c>
      <c r="S14" s="5" t="s">
        <v>123</v>
      </c>
      <c r="T14" s="6" t="str">
        <f ca="1">IFERROR(__xludf.DUMMYFUNCTION("REGEXREPLACE(REGEXREPLACE(O14, ""[^0-9]"", """"), ""^620"", ""62"")"),"6285298870164")</f>
        <v>6285298870164</v>
      </c>
    </row>
    <row r="15" spans="1:20" x14ac:dyDescent="0.2">
      <c r="A15" s="4" t="s">
        <v>124</v>
      </c>
      <c r="B15" s="4"/>
      <c r="C15" s="4" t="s">
        <v>20</v>
      </c>
      <c r="D15" s="4" t="s">
        <v>91</v>
      </c>
      <c r="E15" s="4" t="s">
        <v>125</v>
      </c>
      <c r="F15" s="4" t="s">
        <v>23</v>
      </c>
      <c r="G15" s="4" t="s">
        <v>24</v>
      </c>
      <c r="H15" s="4" t="s">
        <v>25</v>
      </c>
      <c r="I15" s="4" t="s">
        <v>39</v>
      </c>
      <c r="J15" s="4" t="s">
        <v>126</v>
      </c>
      <c r="K15" s="4" t="s">
        <v>41</v>
      </c>
      <c r="L15" s="4" t="s">
        <v>29</v>
      </c>
      <c r="M15" s="4" t="s">
        <v>85</v>
      </c>
      <c r="N15" s="4"/>
      <c r="O15" s="4" t="s">
        <v>127</v>
      </c>
      <c r="P15" s="4"/>
      <c r="Q15" s="4" t="s">
        <v>128</v>
      </c>
      <c r="R15" s="5" t="s">
        <v>35</v>
      </c>
      <c r="S15" s="5" t="s">
        <v>129</v>
      </c>
      <c r="T15" s="6" t="str">
        <f ca="1">IFERROR(__xludf.DUMMYFUNCTION("REGEXREPLACE(REGEXREPLACE(O15, ""[^0-9]"", """"), ""^620"", ""62"")"),"6282252147307")</f>
        <v>6282252147307</v>
      </c>
    </row>
    <row r="16" spans="1:20" x14ac:dyDescent="0.2">
      <c r="A16" s="4" t="s">
        <v>130</v>
      </c>
      <c r="B16" s="4"/>
      <c r="C16" s="4" t="s">
        <v>20</v>
      </c>
      <c r="D16" s="4" t="s">
        <v>91</v>
      </c>
      <c r="E16" s="4" t="s">
        <v>131</v>
      </c>
      <c r="F16" s="4" t="s">
        <v>23</v>
      </c>
      <c r="G16" s="4" t="s">
        <v>24</v>
      </c>
      <c r="H16" s="4" t="s">
        <v>25</v>
      </c>
      <c r="I16" s="4" t="s">
        <v>39</v>
      </c>
      <c r="J16" s="4" t="s">
        <v>132</v>
      </c>
      <c r="K16" s="4" t="s">
        <v>41</v>
      </c>
      <c r="L16" s="4" t="s">
        <v>42</v>
      </c>
      <c r="M16" s="4" t="s">
        <v>30</v>
      </c>
      <c r="N16" s="4" t="s">
        <v>133</v>
      </c>
      <c r="O16" s="4" t="s">
        <v>134</v>
      </c>
      <c r="P16" s="4"/>
      <c r="Q16" s="4" t="s">
        <v>135</v>
      </c>
      <c r="R16" s="5" t="s">
        <v>46</v>
      </c>
      <c r="S16" s="5" t="s">
        <v>136</v>
      </c>
      <c r="T16" s="6" t="str">
        <f ca="1">IFERROR(__xludf.DUMMYFUNCTION("REGEXREPLACE(REGEXREPLACE(O16, ""[^0-9]"", """"), ""^620"", ""62"")"),"6289524447222")</f>
        <v>6289524447222</v>
      </c>
    </row>
    <row r="17" spans="1:20" x14ac:dyDescent="0.2">
      <c r="A17" s="4" t="s">
        <v>137</v>
      </c>
      <c r="B17" s="4"/>
      <c r="C17" s="4" t="s">
        <v>20</v>
      </c>
      <c r="D17" s="4" t="s">
        <v>49</v>
      </c>
      <c r="E17" s="4" t="s">
        <v>138</v>
      </c>
      <c r="F17" s="4" t="s">
        <v>23</v>
      </c>
      <c r="G17" s="4" t="s">
        <v>24</v>
      </c>
      <c r="H17" s="4" t="s">
        <v>25</v>
      </c>
      <c r="I17" s="4" t="s">
        <v>66</v>
      </c>
      <c r="J17" s="4" t="s">
        <v>139</v>
      </c>
      <c r="K17" s="4" t="s">
        <v>41</v>
      </c>
      <c r="L17" s="4" t="s">
        <v>42</v>
      </c>
      <c r="M17" s="4" t="s">
        <v>30</v>
      </c>
      <c r="N17" s="4" t="s">
        <v>140</v>
      </c>
      <c r="O17" s="4" t="s">
        <v>141</v>
      </c>
      <c r="P17" s="4"/>
      <c r="Q17" s="4" t="s">
        <v>142</v>
      </c>
      <c r="R17" s="5" t="s">
        <v>35</v>
      </c>
      <c r="S17" s="5" t="s">
        <v>143</v>
      </c>
      <c r="T17" s="6" t="str">
        <f ca="1">IFERROR(__xludf.DUMMYFUNCTION("REGEXREPLACE(REGEXREPLACE(O17, ""[^0-9]"", """"), ""^620"", ""62"")"),"6282153043966")</f>
        <v>6282153043966</v>
      </c>
    </row>
    <row r="18" spans="1:20" x14ac:dyDescent="0.2">
      <c r="A18" s="4" t="s">
        <v>144</v>
      </c>
      <c r="B18" s="4"/>
      <c r="C18" s="4" t="s">
        <v>20</v>
      </c>
      <c r="D18" s="4" t="s">
        <v>49</v>
      </c>
      <c r="E18" s="4" t="s">
        <v>145</v>
      </c>
      <c r="F18" s="4" t="s">
        <v>23</v>
      </c>
      <c r="G18" s="4" t="s">
        <v>24</v>
      </c>
      <c r="H18" s="4" t="s">
        <v>25</v>
      </c>
      <c r="I18" s="4" t="s">
        <v>51</v>
      </c>
      <c r="J18" s="4" t="s">
        <v>146</v>
      </c>
      <c r="K18" s="4" t="s">
        <v>41</v>
      </c>
      <c r="L18" s="4" t="s">
        <v>42</v>
      </c>
      <c r="M18" s="4" t="s">
        <v>43</v>
      </c>
      <c r="N18" s="4"/>
      <c r="O18" s="4" t="s">
        <v>147</v>
      </c>
      <c r="P18" s="4"/>
      <c r="Q18" s="4" t="s">
        <v>148</v>
      </c>
      <c r="R18" s="5" t="s">
        <v>46</v>
      </c>
      <c r="S18" s="5" t="s">
        <v>149</v>
      </c>
      <c r="T18" s="6" t="str">
        <f ca="1">IFERROR(__xludf.DUMMYFUNCTION("REGEXREPLACE(REGEXREPLACE(O18, ""[^0-9]"", """"), ""^620"", ""62"")"),"6285757134135")</f>
        <v>6285757134135</v>
      </c>
    </row>
    <row r="19" spans="1:20" x14ac:dyDescent="0.2">
      <c r="A19" s="4" t="s">
        <v>150</v>
      </c>
      <c r="B19" s="4"/>
      <c r="C19" s="4" t="s">
        <v>20</v>
      </c>
      <c r="D19" s="4" t="s">
        <v>91</v>
      </c>
      <c r="E19" s="4" t="s">
        <v>151</v>
      </c>
      <c r="F19" s="4" t="s">
        <v>23</v>
      </c>
      <c r="G19" s="4" t="s">
        <v>24</v>
      </c>
      <c r="H19" s="4" t="s">
        <v>25</v>
      </c>
      <c r="I19" s="4" t="s">
        <v>73</v>
      </c>
      <c r="J19" s="4" t="s">
        <v>152</v>
      </c>
      <c r="K19" s="4" t="s">
        <v>41</v>
      </c>
      <c r="L19" s="4" t="s">
        <v>29</v>
      </c>
      <c r="M19" s="4" t="s">
        <v>53</v>
      </c>
      <c r="N19" s="4"/>
      <c r="O19" s="4" t="s">
        <v>153</v>
      </c>
      <c r="P19" s="4" t="s">
        <v>154</v>
      </c>
      <c r="Q19" s="4" t="s">
        <v>155</v>
      </c>
      <c r="R19" s="5" t="s">
        <v>35</v>
      </c>
      <c r="S19" s="5" t="s">
        <v>156</v>
      </c>
      <c r="T19" s="6" t="str">
        <f ca="1">IFERROR(__xludf.DUMMYFUNCTION("REGEXREPLACE(REGEXREPLACE(O19, ""[^0-9]"", """"), ""^620"", ""62"")"),"6285255275678")</f>
        <v>6285255275678</v>
      </c>
    </row>
    <row r="20" spans="1:20" x14ac:dyDescent="0.2">
      <c r="A20" s="4" t="s">
        <v>157</v>
      </c>
      <c r="B20" s="4"/>
      <c r="C20" s="4" t="s">
        <v>20</v>
      </c>
      <c r="D20" s="4" t="s">
        <v>21</v>
      </c>
      <c r="E20" s="4" t="s">
        <v>158</v>
      </c>
      <c r="F20" s="4" t="s">
        <v>23</v>
      </c>
      <c r="G20" s="4" t="s">
        <v>24</v>
      </c>
      <c r="H20" s="4" t="s">
        <v>25</v>
      </c>
      <c r="I20" s="4" t="s">
        <v>51</v>
      </c>
      <c r="J20" s="4" t="s">
        <v>159</v>
      </c>
      <c r="K20" s="4" t="s">
        <v>41</v>
      </c>
      <c r="L20" s="4" t="s">
        <v>29</v>
      </c>
      <c r="M20" s="4" t="s">
        <v>30</v>
      </c>
      <c r="N20" s="4" t="s">
        <v>160</v>
      </c>
      <c r="O20" s="4" t="s">
        <v>161</v>
      </c>
      <c r="P20" s="4"/>
      <c r="Q20" s="4" t="s">
        <v>162</v>
      </c>
      <c r="R20" s="5" t="s">
        <v>46</v>
      </c>
      <c r="S20" s="5" t="s">
        <v>163</v>
      </c>
      <c r="T20" s="6" t="str">
        <f ca="1">IFERROR(__xludf.DUMMYFUNCTION("REGEXREPLACE(REGEXREPLACE(O20, ""[^0-9]"", """"), ""^620"", ""62"")"),"6285298054789")</f>
        <v>6285298054789</v>
      </c>
    </row>
    <row r="21" spans="1:20" x14ac:dyDescent="0.2">
      <c r="A21" s="4" t="s">
        <v>164</v>
      </c>
      <c r="B21" s="4"/>
      <c r="C21" s="4" t="s">
        <v>20</v>
      </c>
      <c r="D21" s="4" t="s">
        <v>21</v>
      </c>
      <c r="E21" s="4" t="s">
        <v>165</v>
      </c>
      <c r="F21" s="4" t="s">
        <v>23</v>
      </c>
      <c r="G21" s="4" t="s">
        <v>24</v>
      </c>
      <c r="H21" s="4" t="s">
        <v>25</v>
      </c>
      <c r="I21" s="4" t="s">
        <v>66</v>
      </c>
      <c r="J21" s="4" t="s">
        <v>166</v>
      </c>
      <c r="K21" s="4" t="s">
        <v>41</v>
      </c>
      <c r="L21" s="4" t="s">
        <v>167</v>
      </c>
      <c r="M21" s="4" t="s">
        <v>53</v>
      </c>
      <c r="N21" s="4"/>
      <c r="O21" s="4" t="s">
        <v>168</v>
      </c>
      <c r="P21" s="4" t="s">
        <v>169</v>
      </c>
      <c r="Q21" s="4" t="s">
        <v>170</v>
      </c>
      <c r="R21" s="5" t="s">
        <v>46</v>
      </c>
      <c r="S21" s="5" t="s">
        <v>171</v>
      </c>
      <c r="T21" s="6" t="str">
        <f ca="1">IFERROR(__xludf.DUMMYFUNCTION("REGEXREPLACE(REGEXREPLACE(O21, ""[^0-9]"", """"), ""^620"", ""62"")"),"6282195012079")</f>
        <v>6282195012079</v>
      </c>
    </row>
    <row r="22" spans="1:20" x14ac:dyDescent="0.2">
      <c r="A22" s="4" t="s">
        <v>172</v>
      </c>
      <c r="B22" s="4"/>
      <c r="C22" s="4" t="s">
        <v>20</v>
      </c>
      <c r="D22" s="4" t="s">
        <v>21</v>
      </c>
      <c r="E22" s="4" t="s">
        <v>173</v>
      </c>
      <c r="F22" s="4" t="s">
        <v>23</v>
      </c>
      <c r="G22" s="4" t="s">
        <v>24</v>
      </c>
      <c r="H22" s="4" t="s">
        <v>25</v>
      </c>
      <c r="I22" s="4" t="s">
        <v>66</v>
      </c>
      <c r="J22" s="4" t="s">
        <v>174</v>
      </c>
      <c r="K22" s="4" t="s">
        <v>28</v>
      </c>
      <c r="L22" s="4" t="s">
        <v>29</v>
      </c>
      <c r="M22" s="4" t="s">
        <v>85</v>
      </c>
      <c r="N22" s="4"/>
      <c r="O22" s="4" t="s">
        <v>175</v>
      </c>
      <c r="P22" s="4"/>
      <c r="Q22" s="4" t="s">
        <v>176</v>
      </c>
      <c r="R22" s="5" t="s">
        <v>46</v>
      </c>
      <c r="S22" s="5" t="s">
        <v>177</v>
      </c>
      <c r="T22" s="6" t="str">
        <f ca="1">IFERROR(__xludf.DUMMYFUNCTION("REGEXREPLACE(REGEXREPLACE(O22, ""[^0-9]"", """"), ""^620"", ""62"")"),"6285146368800")</f>
        <v>6285146368800</v>
      </c>
    </row>
    <row r="23" spans="1:20" x14ac:dyDescent="0.2">
      <c r="A23" s="4" t="s">
        <v>178</v>
      </c>
      <c r="B23" s="4"/>
      <c r="C23" s="4" t="s">
        <v>20</v>
      </c>
      <c r="D23" s="4" t="s">
        <v>21</v>
      </c>
      <c r="E23" s="4" t="s">
        <v>179</v>
      </c>
      <c r="F23" s="4" t="s">
        <v>23</v>
      </c>
      <c r="G23" s="4" t="s">
        <v>24</v>
      </c>
      <c r="H23" s="4" t="s">
        <v>25</v>
      </c>
      <c r="I23" s="4" t="s">
        <v>66</v>
      </c>
      <c r="J23" s="4" t="s">
        <v>180</v>
      </c>
      <c r="K23" s="4" t="s">
        <v>41</v>
      </c>
      <c r="L23" s="4" t="s">
        <v>42</v>
      </c>
      <c r="M23" s="4" t="s">
        <v>85</v>
      </c>
      <c r="N23" s="4"/>
      <c r="O23" s="4" t="s">
        <v>181</v>
      </c>
      <c r="P23" s="4"/>
      <c r="Q23" s="4" t="s">
        <v>182</v>
      </c>
      <c r="R23" s="5" t="s">
        <v>46</v>
      </c>
      <c r="S23" s="5" t="s">
        <v>183</v>
      </c>
      <c r="T23" s="6" t="str">
        <f ca="1">IFERROR(__xludf.DUMMYFUNCTION("REGEXREPLACE(REGEXREPLACE(O23, ""[^0-9]"", """"), ""^620"", ""62"")"),"6282211254822")</f>
        <v>6282211254822</v>
      </c>
    </row>
    <row r="24" spans="1:20" x14ac:dyDescent="0.2">
      <c r="A24" s="4" t="s">
        <v>184</v>
      </c>
      <c r="B24" s="4"/>
      <c r="C24" s="4" t="s">
        <v>20</v>
      </c>
      <c r="D24" s="4" t="s">
        <v>21</v>
      </c>
      <c r="E24" s="4" t="s">
        <v>185</v>
      </c>
      <c r="F24" s="4" t="s">
        <v>23</v>
      </c>
      <c r="G24" s="4" t="s">
        <v>24</v>
      </c>
      <c r="H24" s="4" t="s">
        <v>25</v>
      </c>
      <c r="I24" s="4" t="s">
        <v>66</v>
      </c>
      <c r="J24" s="4" t="s">
        <v>186</v>
      </c>
      <c r="K24" s="4" t="s">
        <v>28</v>
      </c>
      <c r="L24" s="4" t="s">
        <v>42</v>
      </c>
      <c r="M24" s="4" t="s">
        <v>43</v>
      </c>
      <c r="N24" s="4"/>
      <c r="O24" s="4" t="s">
        <v>187</v>
      </c>
      <c r="P24" s="4"/>
      <c r="Q24" s="4" t="s">
        <v>188</v>
      </c>
      <c r="R24" s="5" t="s">
        <v>46</v>
      </c>
      <c r="S24" s="5" t="s">
        <v>189</v>
      </c>
      <c r="T24" s="6" t="str">
        <f ca="1">IFERROR(__xludf.DUMMYFUNCTION("REGEXREPLACE(REGEXREPLACE(O24, ""[^0-9]"", """"), ""^620"", ""62"")"),"6282187587810")</f>
        <v>6282187587810</v>
      </c>
    </row>
    <row r="25" spans="1:20" x14ac:dyDescent="0.2">
      <c r="A25" s="4" t="s">
        <v>190</v>
      </c>
      <c r="B25" s="4"/>
      <c r="C25" s="4" t="s">
        <v>20</v>
      </c>
      <c r="D25" s="4" t="s">
        <v>21</v>
      </c>
      <c r="E25" s="4" t="s">
        <v>191</v>
      </c>
      <c r="F25" s="4" t="s">
        <v>23</v>
      </c>
      <c r="G25" s="4" t="s">
        <v>24</v>
      </c>
      <c r="H25" s="4" t="s">
        <v>25</v>
      </c>
      <c r="I25" s="4" t="s">
        <v>26</v>
      </c>
      <c r="J25" s="4" t="s">
        <v>192</v>
      </c>
      <c r="K25" s="4" t="s">
        <v>28</v>
      </c>
      <c r="L25" s="4" t="s">
        <v>29</v>
      </c>
      <c r="M25" s="4" t="s">
        <v>85</v>
      </c>
      <c r="N25" s="4"/>
      <c r="O25" s="4" t="s">
        <v>193</v>
      </c>
      <c r="P25" s="4"/>
      <c r="Q25" s="4" t="s">
        <v>194</v>
      </c>
      <c r="R25" s="5" t="s">
        <v>46</v>
      </c>
      <c r="S25" s="5" t="s">
        <v>195</v>
      </c>
      <c r="T25" s="6" t="str">
        <f ca="1">IFERROR(__xludf.DUMMYFUNCTION("REGEXREPLACE(REGEXREPLACE(O25, ""[^0-9]"", """"), ""^620"", ""62"")"),"6285753801571")</f>
        <v>6285753801571</v>
      </c>
    </row>
    <row r="26" spans="1:20" x14ac:dyDescent="0.2">
      <c r="A26" s="4" t="s">
        <v>196</v>
      </c>
      <c r="B26" s="4"/>
      <c r="C26" s="4" t="s">
        <v>20</v>
      </c>
      <c r="D26" s="4" t="s">
        <v>21</v>
      </c>
      <c r="E26" s="4" t="s">
        <v>197</v>
      </c>
      <c r="F26" s="4" t="s">
        <v>23</v>
      </c>
      <c r="G26" s="4" t="s">
        <v>24</v>
      </c>
      <c r="H26" s="4" t="s">
        <v>25</v>
      </c>
      <c r="I26" s="4" t="s">
        <v>26</v>
      </c>
      <c r="J26" s="4" t="s">
        <v>198</v>
      </c>
      <c r="K26" s="4" t="s">
        <v>41</v>
      </c>
      <c r="L26" s="4" t="s">
        <v>42</v>
      </c>
      <c r="M26" s="4" t="s">
        <v>43</v>
      </c>
      <c r="N26" s="4"/>
      <c r="O26" s="4" t="s">
        <v>199</v>
      </c>
      <c r="P26" s="4"/>
      <c r="Q26" s="4" t="s">
        <v>200</v>
      </c>
      <c r="R26" s="5" t="s">
        <v>46</v>
      </c>
      <c r="S26" s="5" t="s">
        <v>201</v>
      </c>
      <c r="T26" s="6" t="str">
        <f ca="1">IFERROR(__xludf.DUMMYFUNCTION("REGEXREPLACE(REGEXREPLACE(O26, ""[^0-9]"", """"), ""^620"", ""62"")"),"6285696212114")</f>
        <v>6285696212114</v>
      </c>
    </row>
    <row r="27" spans="1:20" x14ac:dyDescent="0.2">
      <c r="A27" s="4" t="s">
        <v>202</v>
      </c>
      <c r="B27" s="4"/>
      <c r="C27" s="4" t="s">
        <v>20</v>
      </c>
      <c r="D27" s="4" t="s">
        <v>91</v>
      </c>
      <c r="E27" s="4" t="s">
        <v>203</v>
      </c>
      <c r="F27" s="4" t="s">
        <v>23</v>
      </c>
      <c r="G27" s="4" t="s">
        <v>24</v>
      </c>
      <c r="H27" s="4" t="s">
        <v>25</v>
      </c>
      <c r="I27" s="4" t="s">
        <v>73</v>
      </c>
      <c r="J27" s="4" t="s">
        <v>204</v>
      </c>
      <c r="K27" s="4" t="s">
        <v>28</v>
      </c>
      <c r="L27" s="4" t="s">
        <v>29</v>
      </c>
      <c r="M27" s="4" t="s">
        <v>30</v>
      </c>
      <c r="N27" s="4" t="s">
        <v>205</v>
      </c>
      <c r="O27" s="4" t="s">
        <v>206</v>
      </c>
      <c r="P27" s="4" t="s">
        <v>207</v>
      </c>
      <c r="Q27" s="4" t="s">
        <v>208</v>
      </c>
      <c r="R27" s="5" t="s">
        <v>35</v>
      </c>
      <c r="S27" s="5" t="s">
        <v>209</v>
      </c>
      <c r="T27" s="6" t="str">
        <f ca="1">IFERROR(__xludf.DUMMYFUNCTION("REGEXREPLACE(REGEXREPLACE(O27, ""[^0-9]"", """"), ""^620"", ""62"")"),"6282187624647")</f>
        <v>6282187624647</v>
      </c>
    </row>
    <row r="28" spans="1:20" x14ac:dyDescent="0.2">
      <c r="A28" s="4" t="s">
        <v>210</v>
      </c>
      <c r="B28" s="4"/>
      <c r="C28" s="4" t="s">
        <v>20</v>
      </c>
      <c r="D28" s="4" t="s">
        <v>21</v>
      </c>
      <c r="E28" s="4" t="s">
        <v>211</v>
      </c>
      <c r="F28" s="4" t="s">
        <v>23</v>
      </c>
      <c r="G28" s="4" t="s">
        <v>24</v>
      </c>
      <c r="H28" s="4" t="s">
        <v>25</v>
      </c>
      <c r="I28" s="4" t="s">
        <v>26</v>
      </c>
      <c r="J28" s="4" t="s">
        <v>212</v>
      </c>
      <c r="K28" s="4" t="s">
        <v>41</v>
      </c>
      <c r="L28" s="4" t="s">
        <v>29</v>
      </c>
      <c r="M28" s="4" t="s">
        <v>85</v>
      </c>
      <c r="N28" s="4"/>
      <c r="O28" s="4" t="s">
        <v>213</v>
      </c>
      <c r="P28" s="4" t="s">
        <v>214</v>
      </c>
      <c r="Q28" s="4" t="s">
        <v>215</v>
      </c>
      <c r="R28" s="5" t="s">
        <v>35</v>
      </c>
      <c r="S28" s="5" t="s">
        <v>216</v>
      </c>
      <c r="T28" s="6" t="str">
        <f ca="1">IFERROR(__xludf.DUMMYFUNCTION("REGEXREPLACE(REGEXREPLACE(O28, ""[^0-9]"", """"), ""^620"", ""62"")"),"628124312261")</f>
        <v>628124312261</v>
      </c>
    </row>
    <row r="29" spans="1:20" x14ac:dyDescent="0.2">
      <c r="A29" s="4" t="s">
        <v>217</v>
      </c>
      <c r="B29" s="4"/>
      <c r="C29" s="4" t="s">
        <v>20</v>
      </c>
      <c r="D29" s="4" t="s">
        <v>21</v>
      </c>
      <c r="E29" s="4" t="s">
        <v>218</v>
      </c>
      <c r="F29" s="4" t="s">
        <v>23</v>
      </c>
      <c r="G29" s="4" t="s">
        <v>24</v>
      </c>
      <c r="H29" s="4" t="s">
        <v>25</v>
      </c>
      <c r="I29" s="4" t="s">
        <v>73</v>
      </c>
      <c r="J29" s="4" t="s">
        <v>219</v>
      </c>
      <c r="K29" s="4" t="s">
        <v>41</v>
      </c>
      <c r="L29" s="4" t="s">
        <v>29</v>
      </c>
      <c r="M29" s="4" t="s">
        <v>43</v>
      </c>
      <c r="N29" s="4"/>
      <c r="O29" s="4" t="s">
        <v>220</v>
      </c>
      <c r="P29" s="4" t="s">
        <v>221</v>
      </c>
      <c r="Q29" s="4" t="s">
        <v>222</v>
      </c>
      <c r="R29" s="5" t="s">
        <v>35</v>
      </c>
      <c r="S29" s="5" t="s">
        <v>223</v>
      </c>
      <c r="T29" s="6" t="str">
        <f ca="1">IFERROR(__xludf.DUMMYFUNCTION("REGEXREPLACE(REGEXREPLACE(O29, ""[^0-9]"", """"), ""^620"", ""62"")"),"6285198291538")</f>
        <v>6285198291538</v>
      </c>
    </row>
    <row r="30" spans="1:20" x14ac:dyDescent="0.2">
      <c r="A30" s="4" t="s">
        <v>224</v>
      </c>
      <c r="B30" s="4"/>
      <c r="C30" s="4" t="s">
        <v>20</v>
      </c>
      <c r="D30" s="4" t="s">
        <v>91</v>
      </c>
      <c r="E30" s="4" t="s">
        <v>225</v>
      </c>
      <c r="F30" s="4" t="s">
        <v>23</v>
      </c>
      <c r="G30" s="4" t="s">
        <v>24</v>
      </c>
      <c r="H30" s="4" t="s">
        <v>25</v>
      </c>
      <c r="I30" s="4" t="s">
        <v>39</v>
      </c>
      <c r="J30" s="4" t="s">
        <v>226</v>
      </c>
      <c r="K30" s="4" t="s">
        <v>41</v>
      </c>
      <c r="L30" s="4" t="s">
        <v>29</v>
      </c>
      <c r="M30" s="4" t="s">
        <v>85</v>
      </c>
      <c r="N30" s="4"/>
      <c r="O30" s="4" t="s">
        <v>227</v>
      </c>
      <c r="P30" s="4" t="s">
        <v>228</v>
      </c>
      <c r="Q30" s="4" t="s">
        <v>229</v>
      </c>
      <c r="R30" s="5" t="s">
        <v>35</v>
      </c>
      <c r="S30" s="5" t="s">
        <v>230</v>
      </c>
      <c r="T30" s="6" t="str">
        <f ca="1">IFERROR(__xludf.DUMMYFUNCTION("REGEXREPLACE(REGEXREPLACE(O30, ""[^0-9]"", """"), ""^620"", ""62"")"),"6285298669586")</f>
        <v>6285298669586</v>
      </c>
    </row>
    <row r="31" spans="1:20" x14ac:dyDescent="0.2">
      <c r="A31" s="4" t="s">
        <v>231</v>
      </c>
      <c r="B31" s="4"/>
      <c r="C31" s="4" t="s">
        <v>20</v>
      </c>
      <c r="D31" s="4" t="s">
        <v>91</v>
      </c>
      <c r="E31" s="4" t="s">
        <v>232</v>
      </c>
      <c r="F31" s="4" t="s">
        <v>23</v>
      </c>
      <c r="G31" s="4" t="s">
        <v>24</v>
      </c>
      <c r="H31" s="4" t="s">
        <v>25</v>
      </c>
      <c r="I31" s="4" t="s">
        <v>73</v>
      </c>
      <c r="J31" s="4" t="s">
        <v>233</v>
      </c>
      <c r="K31" s="4" t="s">
        <v>28</v>
      </c>
      <c r="L31" s="4" t="s">
        <v>29</v>
      </c>
      <c r="M31" s="4" t="s">
        <v>30</v>
      </c>
      <c r="N31" s="4" t="s">
        <v>234</v>
      </c>
      <c r="O31" s="4" t="s">
        <v>235</v>
      </c>
      <c r="P31" s="4" t="s">
        <v>236</v>
      </c>
      <c r="Q31" s="4" t="s">
        <v>237</v>
      </c>
      <c r="R31" s="5" t="s">
        <v>46</v>
      </c>
      <c r="S31" s="5" t="s">
        <v>238</v>
      </c>
      <c r="T31" s="6" t="str">
        <f ca="1">IFERROR(__xludf.DUMMYFUNCTION("REGEXREPLACE(REGEXREPLACE(O31, ""[^0-9]"", """"), ""^620"", ""62"")"),"6282196764226")</f>
        <v>6282196764226</v>
      </c>
    </row>
    <row r="32" spans="1:20" x14ac:dyDescent="0.2">
      <c r="A32" s="4" t="s">
        <v>239</v>
      </c>
      <c r="B32" s="4"/>
      <c r="C32" s="4" t="s">
        <v>20</v>
      </c>
      <c r="D32" s="4" t="s">
        <v>91</v>
      </c>
      <c r="E32" s="4" t="s">
        <v>240</v>
      </c>
      <c r="F32" s="4" t="s">
        <v>23</v>
      </c>
      <c r="G32" s="4" t="s">
        <v>24</v>
      </c>
      <c r="H32" s="4" t="s">
        <v>25</v>
      </c>
      <c r="I32" s="4" t="s">
        <v>39</v>
      </c>
      <c r="J32" s="4" t="s">
        <v>241</v>
      </c>
      <c r="K32" s="4" t="s">
        <v>28</v>
      </c>
      <c r="L32" s="4" t="s">
        <v>29</v>
      </c>
      <c r="M32" s="4" t="s">
        <v>85</v>
      </c>
      <c r="N32" s="4"/>
      <c r="O32" s="4" t="s">
        <v>242</v>
      </c>
      <c r="P32" s="4" t="s">
        <v>243</v>
      </c>
      <c r="Q32" s="4" t="s">
        <v>244</v>
      </c>
      <c r="R32" s="5" t="s">
        <v>46</v>
      </c>
      <c r="S32" s="5" t="s">
        <v>245</v>
      </c>
      <c r="T32" s="6" t="str">
        <f ca="1">IFERROR(__xludf.DUMMYFUNCTION("REGEXREPLACE(REGEXREPLACE(O32, ""[^0-9]"", """"), ""^620"", ""62"")"),"6285397461530")</f>
        <v>6285397461530</v>
      </c>
    </row>
    <row r="33" spans="1:20" x14ac:dyDescent="0.2">
      <c r="A33" s="4" t="s">
        <v>246</v>
      </c>
      <c r="B33" s="4"/>
      <c r="C33" s="4" t="s">
        <v>20</v>
      </c>
      <c r="D33" s="4" t="s">
        <v>91</v>
      </c>
      <c r="E33" s="4" t="s">
        <v>247</v>
      </c>
      <c r="F33" s="4" t="s">
        <v>23</v>
      </c>
      <c r="G33" s="4" t="s">
        <v>24</v>
      </c>
      <c r="H33" s="4" t="s">
        <v>25</v>
      </c>
      <c r="I33" s="4" t="s">
        <v>26</v>
      </c>
      <c r="J33" s="4" t="s">
        <v>248</v>
      </c>
      <c r="K33" s="4" t="s">
        <v>41</v>
      </c>
      <c r="L33" s="4" t="s">
        <v>29</v>
      </c>
      <c r="M33" s="4" t="s">
        <v>30</v>
      </c>
      <c r="N33" s="4" t="s">
        <v>249</v>
      </c>
      <c r="O33" s="4" t="s">
        <v>250</v>
      </c>
      <c r="P33" s="4"/>
      <c r="Q33" s="4" t="s">
        <v>251</v>
      </c>
      <c r="R33" s="5" t="s">
        <v>46</v>
      </c>
      <c r="S33" s="5" t="s">
        <v>252</v>
      </c>
      <c r="T33" s="6" t="str">
        <f ca="1">IFERROR(__xludf.DUMMYFUNCTION("REGEXREPLACE(REGEXREPLACE(O33, ""[^0-9]"", """"), ""^620"", ""62"")"),"6285342400727")</f>
        <v>6285342400727</v>
      </c>
    </row>
    <row r="34" spans="1:20" x14ac:dyDescent="0.2">
      <c r="A34" s="4" t="s">
        <v>253</v>
      </c>
      <c r="B34" s="4"/>
      <c r="C34" s="4" t="s">
        <v>20</v>
      </c>
      <c r="D34" s="4" t="s">
        <v>91</v>
      </c>
      <c r="E34" s="4" t="s">
        <v>254</v>
      </c>
      <c r="F34" s="4" t="s">
        <v>23</v>
      </c>
      <c r="G34" s="4" t="s">
        <v>24</v>
      </c>
      <c r="H34" s="4" t="s">
        <v>25</v>
      </c>
      <c r="I34" s="4" t="s">
        <v>66</v>
      </c>
      <c r="J34" s="4" t="s">
        <v>255</v>
      </c>
      <c r="K34" s="4" t="s">
        <v>41</v>
      </c>
      <c r="L34" s="4" t="s">
        <v>29</v>
      </c>
      <c r="M34" s="4" t="s">
        <v>30</v>
      </c>
      <c r="N34" s="4" t="s">
        <v>256</v>
      </c>
      <c r="O34" s="4" t="s">
        <v>257</v>
      </c>
      <c r="P34" s="4"/>
      <c r="Q34" s="4" t="s">
        <v>258</v>
      </c>
      <c r="R34" s="5" t="s">
        <v>46</v>
      </c>
      <c r="S34" s="5" t="s">
        <v>259</v>
      </c>
      <c r="T34" s="6" t="str">
        <f ca="1">IFERROR(__xludf.DUMMYFUNCTION("REGEXREPLACE(REGEXREPLACE(O34, ""[^0-9]"", """"), ""^620"", ""62"")"),"6287777259301")</f>
        <v>6287777259301</v>
      </c>
    </row>
    <row r="35" spans="1:20" x14ac:dyDescent="0.2">
      <c r="A35" s="4" t="s">
        <v>260</v>
      </c>
      <c r="B35" s="4"/>
      <c r="C35" s="4" t="s">
        <v>20</v>
      </c>
      <c r="D35" s="4" t="s">
        <v>49</v>
      </c>
      <c r="E35" s="4" t="s">
        <v>261</v>
      </c>
      <c r="F35" s="4" t="s">
        <v>23</v>
      </c>
      <c r="G35" s="4" t="s">
        <v>24</v>
      </c>
      <c r="H35" s="4" t="s">
        <v>25</v>
      </c>
      <c r="I35" s="4" t="s">
        <v>262</v>
      </c>
      <c r="J35" s="4" t="s">
        <v>263</v>
      </c>
      <c r="K35" s="4" t="s">
        <v>28</v>
      </c>
      <c r="L35" s="4" t="s">
        <v>29</v>
      </c>
      <c r="M35" s="4" t="s">
        <v>30</v>
      </c>
      <c r="N35" s="4" t="s">
        <v>264</v>
      </c>
      <c r="O35" s="4" t="s">
        <v>265</v>
      </c>
      <c r="P35" s="4"/>
      <c r="Q35" s="4" t="s">
        <v>266</v>
      </c>
      <c r="R35" s="5" t="s">
        <v>46</v>
      </c>
      <c r="S35" s="5" t="s">
        <v>267</v>
      </c>
      <c r="T35" s="6" t="str">
        <f ca="1">IFERROR(__xludf.DUMMYFUNCTION("REGEXREPLACE(REGEXREPLACE(O35, ""[^0-9]"", """"), ""^620"", ""62"")"),"6282348148758")</f>
        <v>6282348148758</v>
      </c>
    </row>
    <row r="36" spans="1:20" x14ac:dyDescent="0.2">
      <c r="A36" s="4" t="s">
        <v>268</v>
      </c>
      <c r="B36" s="4"/>
      <c r="C36" s="4" t="s">
        <v>20</v>
      </c>
      <c r="D36" s="4" t="s">
        <v>21</v>
      </c>
      <c r="E36" s="4" t="s">
        <v>269</v>
      </c>
      <c r="F36" s="4" t="s">
        <v>23</v>
      </c>
      <c r="G36" s="4" t="s">
        <v>24</v>
      </c>
      <c r="H36" s="4" t="s">
        <v>25</v>
      </c>
      <c r="I36" s="4" t="s">
        <v>270</v>
      </c>
      <c r="J36" s="4" t="s">
        <v>271</v>
      </c>
      <c r="K36" s="4" t="s">
        <v>41</v>
      </c>
      <c r="L36" s="4" t="s">
        <v>29</v>
      </c>
      <c r="M36" s="4" t="s">
        <v>272</v>
      </c>
      <c r="N36" s="4"/>
      <c r="O36" s="4" t="s">
        <v>273</v>
      </c>
      <c r="P36" s="4" t="s">
        <v>274</v>
      </c>
      <c r="Q36" s="4" t="s">
        <v>275</v>
      </c>
      <c r="R36" s="5" t="s">
        <v>46</v>
      </c>
      <c r="S36" s="5" t="s">
        <v>276</v>
      </c>
      <c r="T36" s="6" t="str">
        <f ca="1">IFERROR(__xludf.DUMMYFUNCTION("REGEXREPLACE(REGEXREPLACE(O36, ""[^0-9]"", """"), ""^620"", ""62"")"),"6281340441562")</f>
        <v>6281340441562</v>
      </c>
    </row>
    <row r="37" spans="1:20" x14ac:dyDescent="0.2">
      <c r="A37" s="4" t="s">
        <v>277</v>
      </c>
      <c r="B37" s="4"/>
      <c r="C37" s="4" t="s">
        <v>20</v>
      </c>
      <c r="D37" s="4" t="s">
        <v>21</v>
      </c>
      <c r="E37" s="4" t="s">
        <v>278</v>
      </c>
      <c r="F37" s="4" t="s">
        <v>23</v>
      </c>
      <c r="G37" s="4" t="s">
        <v>24</v>
      </c>
      <c r="H37" s="4" t="s">
        <v>25</v>
      </c>
      <c r="I37" s="4" t="s">
        <v>262</v>
      </c>
      <c r="J37" s="4" t="s">
        <v>279</v>
      </c>
      <c r="K37" s="4" t="s">
        <v>41</v>
      </c>
      <c r="L37" s="4" t="s">
        <v>29</v>
      </c>
      <c r="M37" s="4" t="s">
        <v>30</v>
      </c>
      <c r="N37" s="4" t="s">
        <v>140</v>
      </c>
      <c r="O37" s="4" t="s">
        <v>280</v>
      </c>
      <c r="P37" s="4" t="s">
        <v>281</v>
      </c>
      <c r="Q37" s="4" t="s">
        <v>282</v>
      </c>
      <c r="R37" s="5" t="s">
        <v>35</v>
      </c>
      <c r="S37" s="5" t="s">
        <v>283</v>
      </c>
      <c r="T37" s="6" t="str">
        <f ca="1">IFERROR(__xludf.DUMMYFUNCTION("REGEXREPLACE(REGEXREPLACE(O37, ""[^0-9]"", """"), ""^620"", ""62"")"),"6283147929332")</f>
        <v>6283147929332</v>
      </c>
    </row>
    <row r="38" spans="1:20" x14ac:dyDescent="0.2">
      <c r="A38" s="4" t="s">
        <v>284</v>
      </c>
      <c r="B38" s="4"/>
      <c r="C38" s="4" t="s">
        <v>20</v>
      </c>
      <c r="D38" s="4" t="s">
        <v>21</v>
      </c>
      <c r="E38" s="4" t="s">
        <v>285</v>
      </c>
      <c r="F38" s="4" t="s">
        <v>23</v>
      </c>
      <c r="G38" s="4" t="s">
        <v>24</v>
      </c>
      <c r="H38" s="4" t="s">
        <v>25</v>
      </c>
      <c r="I38" s="4" t="s">
        <v>73</v>
      </c>
      <c r="J38" s="4" t="s">
        <v>286</v>
      </c>
      <c r="K38" s="4" t="s">
        <v>28</v>
      </c>
      <c r="L38" s="4" t="s">
        <v>29</v>
      </c>
      <c r="M38" s="4" t="s">
        <v>30</v>
      </c>
      <c r="N38" s="4" t="s">
        <v>234</v>
      </c>
      <c r="O38" s="4" t="s">
        <v>287</v>
      </c>
      <c r="P38" s="4" t="s">
        <v>288</v>
      </c>
      <c r="Q38" s="4" t="s">
        <v>289</v>
      </c>
      <c r="R38" s="5" t="s">
        <v>35</v>
      </c>
      <c r="S38" s="5" t="s">
        <v>290</v>
      </c>
      <c r="T38" s="6" t="str">
        <f ca="1">IFERROR(__xludf.DUMMYFUNCTION("REGEXREPLACE(REGEXREPLACE(O38, ""[^0-9]"", """"), ""^620"", ""62"")"),"6282347418131")</f>
        <v>6282347418131</v>
      </c>
    </row>
    <row r="39" spans="1:20" x14ac:dyDescent="0.2">
      <c r="A39" s="4" t="s">
        <v>291</v>
      </c>
      <c r="B39" s="4"/>
      <c r="C39" s="4" t="s">
        <v>20</v>
      </c>
      <c r="D39" s="4" t="s">
        <v>21</v>
      </c>
      <c r="E39" s="4" t="s">
        <v>292</v>
      </c>
      <c r="F39" s="4" t="s">
        <v>23</v>
      </c>
      <c r="G39" s="4" t="s">
        <v>24</v>
      </c>
      <c r="H39" s="4" t="s">
        <v>25</v>
      </c>
      <c r="I39" s="4" t="s">
        <v>73</v>
      </c>
      <c r="J39" s="4" t="s">
        <v>293</v>
      </c>
      <c r="K39" s="4" t="s">
        <v>28</v>
      </c>
      <c r="L39" s="4" t="s">
        <v>29</v>
      </c>
      <c r="M39" s="4" t="s">
        <v>30</v>
      </c>
      <c r="N39" s="4" t="s">
        <v>294</v>
      </c>
      <c r="O39" s="4" t="s">
        <v>295</v>
      </c>
      <c r="P39" s="4" t="s">
        <v>296</v>
      </c>
      <c r="Q39" s="4" t="s">
        <v>297</v>
      </c>
      <c r="R39" s="5" t="s">
        <v>46</v>
      </c>
      <c r="S39" s="5" t="s">
        <v>298</v>
      </c>
      <c r="T39" s="6" t="str">
        <f ca="1">IFERROR(__xludf.DUMMYFUNCTION("REGEXREPLACE(REGEXREPLACE(O39, ""[^0-9]"", """"), ""^620"", ""62"")"),"6282348481067")</f>
        <v>6282348481067</v>
      </c>
    </row>
    <row r="40" spans="1:20" x14ac:dyDescent="0.2">
      <c r="A40" s="4" t="s">
        <v>299</v>
      </c>
      <c r="B40" s="4"/>
      <c r="C40" s="4" t="s">
        <v>20</v>
      </c>
      <c r="D40" s="4" t="s">
        <v>21</v>
      </c>
      <c r="E40" s="4" t="s">
        <v>300</v>
      </c>
      <c r="F40" s="4" t="s">
        <v>23</v>
      </c>
      <c r="G40" s="4" t="s">
        <v>24</v>
      </c>
      <c r="H40" s="4" t="s">
        <v>25</v>
      </c>
      <c r="I40" s="4" t="s">
        <v>39</v>
      </c>
      <c r="J40" s="4" t="s">
        <v>301</v>
      </c>
      <c r="K40" s="4" t="s">
        <v>41</v>
      </c>
      <c r="L40" s="4" t="s">
        <v>42</v>
      </c>
      <c r="M40" s="4" t="s">
        <v>43</v>
      </c>
      <c r="N40" s="4"/>
      <c r="O40" s="4" t="s">
        <v>302</v>
      </c>
      <c r="P40" s="4" t="s">
        <v>303</v>
      </c>
      <c r="Q40" s="4" t="s">
        <v>304</v>
      </c>
      <c r="R40" s="5" t="s">
        <v>35</v>
      </c>
      <c r="S40" s="5" t="s">
        <v>290</v>
      </c>
      <c r="T40" s="6" t="str">
        <f ca="1">IFERROR(__xludf.DUMMYFUNCTION("REGEXREPLACE(REGEXREPLACE(O40, ""[^0-9]"", """"), ""^620"", ""62"")"),"6285156736182")</f>
        <v>6285156736182</v>
      </c>
    </row>
    <row r="41" spans="1:20" x14ac:dyDescent="0.2">
      <c r="A41" s="4" t="s">
        <v>305</v>
      </c>
      <c r="B41" s="4"/>
      <c r="C41" s="4" t="s">
        <v>20</v>
      </c>
      <c r="D41" s="4" t="s">
        <v>21</v>
      </c>
      <c r="E41" s="4" t="s">
        <v>306</v>
      </c>
      <c r="F41" s="4" t="s">
        <v>23</v>
      </c>
      <c r="G41" s="4" t="s">
        <v>24</v>
      </c>
      <c r="H41" s="4" t="s">
        <v>25</v>
      </c>
      <c r="I41" s="4" t="s">
        <v>66</v>
      </c>
      <c r="J41" s="4" t="s">
        <v>307</v>
      </c>
      <c r="K41" s="4" t="s">
        <v>41</v>
      </c>
      <c r="L41" s="4" t="s">
        <v>29</v>
      </c>
      <c r="M41" s="4" t="s">
        <v>53</v>
      </c>
      <c r="N41" s="4"/>
      <c r="O41" s="4" t="s">
        <v>308</v>
      </c>
      <c r="P41" s="4" t="s">
        <v>309</v>
      </c>
      <c r="Q41" s="4" t="s">
        <v>310</v>
      </c>
      <c r="R41" s="5" t="s">
        <v>35</v>
      </c>
      <c r="S41" s="5" t="s">
        <v>311</v>
      </c>
      <c r="T41" s="6" t="str">
        <f ca="1">IFERROR(__xludf.DUMMYFUNCTION("REGEXREPLACE(REGEXREPLACE(O41, ""[^0-9]"", """"), ""^620"", ""62"")"),"6285342149509")</f>
        <v>6285342149509</v>
      </c>
    </row>
    <row r="42" spans="1:20" x14ac:dyDescent="0.2">
      <c r="A42" s="4" t="s">
        <v>312</v>
      </c>
      <c r="B42" s="4"/>
      <c r="C42" s="4" t="s">
        <v>20</v>
      </c>
      <c r="D42" s="4" t="s">
        <v>49</v>
      </c>
      <c r="E42" s="4" t="s">
        <v>313</v>
      </c>
      <c r="F42" s="4" t="s">
        <v>23</v>
      </c>
      <c r="G42" s="4" t="s">
        <v>24</v>
      </c>
      <c r="H42" s="4" t="s">
        <v>25</v>
      </c>
      <c r="I42" s="4" t="s">
        <v>66</v>
      </c>
      <c r="J42" s="4" t="s">
        <v>314</v>
      </c>
      <c r="K42" s="4" t="s">
        <v>41</v>
      </c>
      <c r="L42" s="4" t="s">
        <v>29</v>
      </c>
      <c r="M42" s="4" t="s">
        <v>85</v>
      </c>
      <c r="N42" s="4"/>
      <c r="O42" s="4" t="s">
        <v>315</v>
      </c>
      <c r="P42" s="4"/>
      <c r="Q42" s="4" t="s">
        <v>316</v>
      </c>
      <c r="R42" s="5" t="s">
        <v>46</v>
      </c>
      <c r="S42" s="5" t="s">
        <v>317</v>
      </c>
      <c r="T42" s="6" t="str">
        <f ca="1">IFERROR(__xludf.DUMMYFUNCTION("REGEXREPLACE(REGEXREPLACE(O42, ""[^0-9]"", """"), ""^620"", ""62"")"),"6281255089447")</f>
        <v>6281255089447</v>
      </c>
    </row>
    <row r="43" spans="1:20" x14ac:dyDescent="0.2">
      <c r="A43" s="4" t="s">
        <v>318</v>
      </c>
      <c r="B43" s="4"/>
      <c r="C43" s="4" t="s">
        <v>20</v>
      </c>
      <c r="D43" s="4" t="s">
        <v>49</v>
      </c>
      <c r="E43" s="4" t="s">
        <v>319</v>
      </c>
      <c r="F43" s="4" t="s">
        <v>23</v>
      </c>
      <c r="G43" s="4" t="s">
        <v>24</v>
      </c>
      <c r="H43" s="4" t="s">
        <v>25</v>
      </c>
      <c r="I43" s="4" t="s">
        <v>39</v>
      </c>
      <c r="J43" s="4" t="s">
        <v>320</v>
      </c>
      <c r="K43" s="4" t="s">
        <v>41</v>
      </c>
      <c r="L43" s="4" t="s">
        <v>29</v>
      </c>
      <c r="M43" s="4" t="s">
        <v>30</v>
      </c>
      <c r="N43" s="4" t="s">
        <v>234</v>
      </c>
      <c r="O43" s="4" t="s">
        <v>321</v>
      </c>
      <c r="P43" s="4"/>
      <c r="Q43" s="4" t="s">
        <v>322</v>
      </c>
      <c r="R43" s="5" t="s">
        <v>46</v>
      </c>
      <c r="S43" s="5" t="s">
        <v>317</v>
      </c>
      <c r="T43" s="6" t="str">
        <f ca="1">IFERROR(__xludf.DUMMYFUNCTION("REGEXREPLACE(REGEXREPLACE(O43, ""[^0-9]"", """"), ""^620"", ""62"")"),"6285783766084")</f>
        <v>6285783766084</v>
      </c>
    </row>
    <row r="44" spans="1:20" x14ac:dyDescent="0.2">
      <c r="A44" s="4" t="s">
        <v>323</v>
      </c>
      <c r="B44" s="4"/>
      <c r="C44" s="4" t="s">
        <v>20</v>
      </c>
      <c r="D44" s="4" t="s">
        <v>49</v>
      </c>
      <c r="E44" s="4" t="s">
        <v>324</v>
      </c>
      <c r="F44" s="4" t="s">
        <v>23</v>
      </c>
      <c r="G44" s="4" t="s">
        <v>24</v>
      </c>
      <c r="H44" s="4" t="s">
        <v>25</v>
      </c>
      <c r="I44" s="4" t="s">
        <v>51</v>
      </c>
      <c r="J44" s="4" t="s">
        <v>325</v>
      </c>
      <c r="K44" s="4" t="s">
        <v>41</v>
      </c>
      <c r="L44" s="4" t="s">
        <v>29</v>
      </c>
      <c r="M44" s="4" t="s">
        <v>30</v>
      </c>
      <c r="N44" s="4" t="s">
        <v>326</v>
      </c>
      <c r="O44" s="4" t="s">
        <v>327</v>
      </c>
      <c r="P44" s="4" t="s">
        <v>328</v>
      </c>
      <c r="Q44" s="4" t="s">
        <v>329</v>
      </c>
      <c r="R44" s="5" t="s">
        <v>46</v>
      </c>
      <c r="S44" s="5" t="s">
        <v>330</v>
      </c>
      <c r="T44" s="6" t="str">
        <f ca="1">IFERROR(__xludf.DUMMYFUNCTION("REGEXREPLACE(REGEXREPLACE(O44, ""[^0-9]"", """"), ""^620"", ""62"")"),"6285363979909")</f>
        <v>6285363979909</v>
      </c>
    </row>
    <row r="45" spans="1:20" x14ac:dyDescent="0.2">
      <c r="A45" s="4" t="s">
        <v>331</v>
      </c>
      <c r="B45" s="4"/>
      <c r="C45" s="4" t="s">
        <v>20</v>
      </c>
      <c r="D45" s="4" t="s">
        <v>49</v>
      </c>
      <c r="E45" s="4" t="s">
        <v>332</v>
      </c>
      <c r="F45" s="4" t="s">
        <v>23</v>
      </c>
      <c r="G45" s="4" t="s">
        <v>24</v>
      </c>
      <c r="H45" s="4" t="s">
        <v>25</v>
      </c>
      <c r="I45" s="4" t="s">
        <v>26</v>
      </c>
      <c r="J45" s="4" t="s">
        <v>333</v>
      </c>
      <c r="K45" s="4" t="s">
        <v>41</v>
      </c>
      <c r="L45" s="4" t="s">
        <v>29</v>
      </c>
      <c r="M45" s="4" t="s">
        <v>272</v>
      </c>
      <c r="N45" s="4"/>
      <c r="O45" s="4" t="s">
        <v>334</v>
      </c>
      <c r="P45" s="4" t="s">
        <v>335</v>
      </c>
      <c r="Q45" s="4" t="s">
        <v>336</v>
      </c>
      <c r="R45" s="5" t="s">
        <v>46</v>
      </c>
      <c r="S45" s="5" t="s">
        <v>337</v>
      </c>
      <c r="T45" s="6" t="str">
        <f ca="1">IFERROR(__xludf.DUMMYFUNCTION("REGEXREPLACE(REGEXREPLACE(O45, ""[^0-9]"", """"), ""^620"", ""62"")"),"6282333396164")</f>
        <v>6282333396164</v>
      </c>
    </row>
    <row r="46" spans="1:20" x14ac:dyDescent="0.2">
      <c r="A46" s="4" t="s">
        <v>338</v>
      </c>
      <c r="B46" s="4"/>
      <c r="C46" s="4" t="s">
        <v>20</v>
      </c>
      <c r="D46" s="4" t="s">
        <v>49</v>
      </c>
      <c r="E46" s="4" t="s">
        <v>339</v>
      </c>
      <c r="F46" s="4" t="s">
        <v>23</v>
      </c>
      <c r="G46" s="4" t="s">
        <v>24</v>
      </c>
      <c r="H46" s="4" t="s">
        <v>25</v>
      </c>
      <c r="I46" s="4" t="s">
        <v>26</v>
      </c>
      <c r="J46" s="4" t="s">
        <v>340</v>
      </c>
      <c r="K46" s="4" t="s">
        <v>41</v>
      </c>
      <c r="L46" s="4" t="s">
        <v>29</v>
      </c>
      <c r="M46" s="4" t="s">
        <v>272</v>
      </c>
      <c r="N46" s="4"/>
      <c r="O46" s="4" t="s">
        <v>341</v>
      </c>
      <c r="P46" s="4" t="s">
        <v>342</v>
      </c>
      <c r="Q46" s="4" t="s">
        <v>343</v>
      </c>
      <c r="R46" s="5" t="s">
        <v>46</v>
      </c>
      <c r="S46" s="5" t="s">
        <v>344</v>
      </c>
      <c r="T46" s="6" t="str">
        <f ca="1">IFERROR(__xludf.DUMMYFUNCTION("REGEXREPLACE(REGEXREPLACE(O46, ""[^0-9]"", """"), ""^620"", ""62"")"),"6282151856811")</f>
        <v>6282151856811</v>
      </c>
    </row>
    <row r="47" spans="1:20" x14ac:dyDescent="0.2">
      <c r="A47" s="4" t="s">
        <v>345</v>
      </c>
      <c r="B47" s="4"/>
      <c r="C47" s="4" t="s">
        <v>20</v>
      </c>
      <c r="D47" s="4" t="s">
        <v>49</v>
      </c>
      <c r="E47" s="4" t="s">
        <v>346</v>
      </c>
      <c r="F47" s="4" t="s">
        <v>23</v>
      </c>
      <c r="G47" s="4" t="s">
        <v>24</v>
      </c>
      <c r="H47" s="4" t="s">
        <v>25</v>
      </c>
      <c r="I47" s="4" t="s">
        <v>51</v>
      </c>
      <c r="J47" s="4" t="s">
        <v>347</v>
      </c>
      <c r="K47" s="4" t="s">
        <v>28</v>
      </c>
      <c r="L47" s="4" t="s">
        <v>29</v>
      </c>
      <c r="M47" s="4" t="s">
        <v>30</v>
      </c>
      <c r="N47" s="4" t="s">
        <v>348</v>
      </c>
      <c r="O47" s="4" t="s">
        <v>349</v>
      </c>
      <c r="P47" s="4"/>
      <c r="Q47" s="4" t="s">
        <v>350</v>
      </c>
      <c r="R47" s="5" t="s">
        <v>46</v>
      </c>
      <c r="S47" s="5" t="s">
        <v>351</v>
      </c>
      <c r="T47" s="6" t="str">
        <f ca="1">IFERROR(__xludf.DUMMYFUNCTION("REGEXREPLACE(REGEXREPLACE(O47, ""[^0-9]"", """"), ""^620"", ""62"")"),"6285394184732")</f>
        <v>6285394184732</v>
      </c>
    </row>
    <row r="48" spans="1:20" x14ac:dyDescent="0.2">
      <c r="A48" s="4" t="s">
        <v>352</v>
      </c>
      <c r="B48" s="4"/>
      <c r="C48" s="4" t="s">
        <v>20</v>
      </c>
      <c r="D48" s="4" t="s">
        <v>49</v>
      </c>
      <c r="E48" s="4" t="s">
        <v>353</v>
      </c>
      <c r="F48" s="4" t="s">
        <v>23</v>
      </c>
      <c r="G48" s="4" t="s">
        <v>24</v>
      </c>
      <c r="H48" s="4" t="s">
        <v>25</v>
      </c>
      <c r="I48" s="4" t="s">
        <v>51</v>
      </c>
      <c r="J48" s="4" t="s">
        <v>354</v>
      </c>
      <c r="K48" s="4" t="s">
        <v>28</v>
      </c>
      <c r="L48" s="4" t="s">
        <v>29</v>
      </c>
      <c r="M48" s="4" t="s">
        <v>85</v>
      </c>
      <c r="N48" s="4"/>
      <c r="O48" s="4" t="s">
        <v>355</v>
      </c>
      <c r="P48" s="4" t="s">
        <v>356</v>
      </c>
      <c r="Q48" s="4" t="s">
        <v>357</v>
      </c>
      <c r="R48" s="5" t="s">
        <v>46</v>
      </c>
      <c r="S48" s="5" t="s">
        <v>358</v>
      </c>
      <c r="T48" s="6" t="str">
        <f ca="1">IFERROR(__xludf.DUMMYFUNCTION("REGEXREPLACE(REGEXREPLACE(O48, ""[^0-9]"", """"), ""^620"", ""62"")"),"6285247255501")</f>
        <v>6285247255501</v>
      </c>
    </row>
    <row r="49" spans="1:20" x14ac:dyDescent="0.2">
      <c r="A49" s="4" t="s">
        <v>359</v>
      </c>
      <c r="B49" s="4"/>
      <c r="C49" s="4" t="s">
        <v>20</v>
      </c>
      <c r="D49" s="4" t="s">
        <v>49</v>
      </c>
      <c r="E49" s="4" t="s">
        <v>360</v>
      </c>
      <c r="F49" s="4" t="s">
        <v>23</v>
      </c>
      <c r="G49" s="4" t="s">
        <v>24</v>
      </c>
      <c r="H49" s="4" t="s">
        <v>25</v>
      </c>
      <c r="I49" s="4" t="s">
        <v>51</v>
      </c>
      <c r="J49" s="4" t="s">
        <v>361</v>
      </c>
      <c r="K49" s="4" t="s">
        <v>28</v>
      </c>
      <c r="L49" s="4" t="s">
        <v>29</v>
      </c>
      <c r="M49" s="4" t="s">
        <v>362</v>
      </c>
      <c r="N49" s="4"/>
      <c r="O49" s="4" t="s">
        <v>363</v>
      </c>
      <c r="P49" s="4" t="s">
        <v>364</v>
      </c>
      <c r="Q49" s="4" t="s">
        <v>365</v>
      </c>
      <c r="R49" s="5" t="s">
        <v>46</v>
      </c>
      <c r="S49" s="5" t="s">
        <v>366</v>
      </c>
      <c r="T49" s="6" t="str">
        <f ca="1">IFERROR(__xludf.DUMMYFUNCTION("REGEXREPLACE(REGEXREPLACE(O49, ""[^0-9]"", """"), ""^620"", ""62"")"),"6287704190101")</f>
        <v>6287704190101</v>
      </c>
    </row>
    <row r="50" spans="1:20" ht="384" x14ac:dyDescent="0.2">
      <c r="A50" s="4" t="s">
        <v>367</v>
      </c>
      <c r="B50" s="4"/>
      <c r="C50" s="4" t="s">
        <v>20</v>
      </c>
      <c r="D50" s="4" t="s">
        <v>49</v>
      </c>
      <c r="E50" s="4" t="s">
        <v>368</v>
      </c>
      <c r="F50" s="4" t="s">
        <v>23</v>
      </c>
      <c r="G50" s="4" t="s">
        <v>24</v>
      </c>
      <c r="H50" s="4" t="s">
        <v>25</v>
      </c>
      <c r="I50" s="4" t="s">
        <v>66</v>
      </c>
      <c r="J50" s="4" t="s">
        <v>369</v>
      </c>
      <c r="K50" s="4" t="s">
        <v>41</v>
      </c>
      <c r="L50" s="4" t="s">
        <v>42</v>
      </c>
      <c r="M50" s="4" t="s">
        <v>43</v>
      </c>
      <c r="N50" s="4"/>
      <c r="O50" s="4" t="s">
        <v>370</v>
      </c>
      <c r="P50" s="4"/>
      <c r="Q50" s="4" t="s">
        <v>371</v>
      </c>
      <c r="R50" s="5" t="s">
        <v>35</v>
      </c>
      <c r="S50" s="7" t="s">
        <v>372</v>
      </c>
      <c r="T50" s="6" t="str">
        <f ca="1">IFERROR(__xludf.DUMMYFUNCTION("REGEXREPLACE(REGEXREPLACE(O50, ""[^0-9]"", """"), ""^620"", ""62"")"),"6282195349743")</f>
        <v>6282195349743</v>
      </c>
    </row>
    <row r="51" spans="1:20" x14ac:dyDescent="0.2">
      <c r="A51" s="4" t="s">
        <v>373</v>
      </c>
      <c r="B51" s="4"/>
      <c r="C51" s="4" t="s">
        <v>20</v>
      </c>
      <c r="D51" s="4" t="s">
        <v>49</v>
      </c>
      <c r="E51" s="4" t="s">
        <v>374</v>
      </c>
      <c r="F51" s="4" t="s">
        <v>23</v>
      </c>
      <c r="G51" s="4" t="s">
        <v>24</v>
      </c>
      <c r="H51" s="4" t="s">
        <v>25</v>
      </c>
      <c r="I51" s="4" t="s">
        <v>73</v>
      </c>
      <c r="J51" s="4" t="s">
        <v>375</v>
      </c>
      <c r="K51" s="4" t="s">
        <v>41</v>
      </c>
      <c r="L51" s="4" t="s">
        <v>29</v>
      </c>
      <c r="M51" s="4" t="s">
        <v>53</v>
      </c>
      <c r="N51" s="4"/>
      <c r="O51" s="4" t="s">
        <v>376</v>
      </c>
      <c r="P51" s="4" t="s">
        <v>377</v>
      </c>
      <c r="Q51" s="4" t="s">
        <v>378</v>
      </c>
      <c r="R51" s="5" t="s">
        <v>46</v>
      </c>
      <c r="S51" s="5" t="s">
        <v>379</v>
      </c>
      <c r="T51" s="6" t="str">
        <f ca="1">IFERROR(__xludf.DUMMYFUNCTION("REGEXREPLACE(REGEXREPLACE(O51, ""[^0-9]"", """"), ""^620"", ""62"")"),"6285255858297")</f>
        <v>6285255858297</v>
      </c>
    </row>
    <row r="52" spans="1:20" x14ac:dyDescent="0.2">
      <c r="A52" s="4" t="s">
        <v>380</v>
      </c>
      <c r="B52" s="4"/>
      <c r="C52" s="4" t="s">
        <v>20</v>
      </c>
      <c r="D52" s="4" t="s">
        <v>49</v>
      </c>
      <c r="E52" s="4" t="s">
        <v>381</v>
      </c>
      <c r="F52" s="4" t="s">
        <v>23</v>
      </c>
      <c r="G52" s="4" t="s">
        <v>24</v>
      </c>
      <c r="H52" s="4" t="s">
        <v>25</v>
      </c>
      <c r="I52" s="4" t="s">
        <v>73</v>
      </c>
      <c r="J52" s="4" t="s">
        <v>382</v>
      </c>
      <c r="K52" s="4" t="s">
        <v>28</v>
      </c>
      <c r="L52" s="4" t="s">
        <v>29</v>
      </c>
      <c r="M52" s="4" t="s">
        <v>85</v>
      </c>
      <c r="N52" s="4"/>
      <c r="O52" s="4" t="s">
        <v>383</v>
      </c>
      <c r="P52" s="4" t="s">
        <v>384</v>
      </c>
      <c r="Q52" s="4" t="s">
        <v>385</v>
      </c>
      <c r="R52" s="5" t="s">
        <v>46</v>
      </c>
      <c r="S52" s="5" t="s">
        <v>386</v>
      </c>
      <c r="T52" s="6" t="str">
        <f ca="1">IFERROR(__xludf.DUMMYFUNCTION("REGEXREPLACE(REGEXREPLACE(O52, ""[^0-9]"", """"), ""^620"", ""62"")"),"6282349707818")</f>
        <v>6282349707818</v>
      </c>
    </row>
    <row r="53" spans="1:20" x14ac:dyDescent="0.2">
      <c r="A53" s="4" t="s">
        <v>387</v>
      </c>
      <c r="B53" s="4"/>
      <c r="C53" s="4" t="s">
        <v>20</v>
      </c>
      <c r="D53" s="4" t="s">
        <v>21</v>
      </c>
      <c r="E53" s="4" t="s">
        <v>388</v>
      </c>
      <c r="F53" s="4" t="s">
        <v>23</v>
      </c>
      <c r="G53" s="4" t="s">
        <v>24</v>
      </c>
      <c r="H53" s="4" t="s">
        <v>25</v>
      </c>
      <c r="I53" s="4" t="s">
        <v>39</v>
      </c>
      <c r="J53" s="4" t="s">
        <v>389</v>
      </c>
      <c r="K53" s="4" t="s">
        <v>41</v>
      </c>
      <c r="L53" s="4" t="s">
        <v>29</v>
      </c>
      <c r="M53" s="4" t="s">
        <v>272</v>
      </c>
      <c r="N53" s="4"/>
      <c r="O53" s="4" t="s">
        <v>390</v>
      </c>
      <c r="P53" s="4" t="s">
        <v>391</v>
      </c>
      <c r="Q53" s="4" t="s">
        <v>392</v>
      </c>
      <c r="R53" s="5" t="s">
        <v>46</v>
      </c>
      <c r="S53" s="5" t="s">
        <v>393</v>
      </c>
      <c r="T53" s="6" t="str">
        <f ca="1">IFERROR(__xludf.DUMMYFUNCTION("REGEXREPLACE(REGEXREPLACE(O53, ""[^0-9]"", """"), ""^620"", ""62"")"),"6285143907821")</f>
        <v>6285143907821</v>
      </c>
    </row>
    <row r="54" spans="1:20" x14ac:dyDescent="0.2">
      <c r="A54" s="4" t="s">
        <v>394</v>
      </c>
      <c r="B54" s="4"/>
      <c r="C54" s="4" t="s">
        <v>20</v>
      </c>
      <c r="D54" s="4" t="s">
        <v>21</v>
      </c>
      <c r="E54" s="4" t="s">
        <v>395</v>
      </c>
      <c r="F54" s="4" t="s">
        <v>23</v>
      </c>
      <c r="G54" s="4" t="s">
        <v>24</v>
      </c>
      <c r="H54" s="4" t="s">
        <v>25</v>
      </c>
      <c r="I54" s="4" t="s">
        <v>262</v>
      </c>
      <c r="J54" s="4" t="s">
        <v>396</v>
      </c>
      <c r="K54" s="4" t="s">
        <v>28</v>
      </c>
      <c r="L54" s="4" t="s">
        <v>29</v>
      </c>
      <c r="M54" s="4" t="s">
        <v>30</v>
      </c>
      <c r="N54" s="4" t="s">
        <v>234</v>
      </c>
      <c r="O54" s="4" t="s">
        <v>397</v>
      </c>
      <c r="P54" s="4" t="s">
        <v>398</v>
      </c>
      <c r="Q54" s="4" t="s">
        <v>399</v>
      </c>
      <c r="R54" s="5" t="s">
        <v>46</v>
      </c>
      <c r="S54" s="5" t="s">
        <v>400</v>
      </c>
      <c r="T54" s="6" t="str">
        <f ca="1">IFERROR(__xludf.DUMMYFUNCTION("REGEXREPLACE(REGEXREPLACE(O54, ""[^0-9]"", """"), ""^620"", ""62"")"),"6285256093338")</f>
        <v>6285256093338</v>
      </c>
    </row>
    <row r="55" spans="1:20" x14ac:dyDescent="0.2">
      <c r="A55" s="4" t="s">
        <v>401</v>
      </c>
      <c r="B55" s="4"/>
      <c r="C55" s="4" t="s">
        <v>20</v>
      </c>
      <c r="D55" s="4" t="s">
        <v>21</v>
      </c>
      <c r="E55" s="4" t="s">
        <v>402</v>
      </c>
      <c r="F55" s="4" t="s">
        <v>23</v>
      </c>
      <c r="G55" s="4" t="s">
        <v>24</v>
      </c>
      <c r="H55" s="4" t="s">
        <v>25</v>
      </c>
      <c r="I55" s="4" t="s">
        <v>403</v>
      </c>
      <c r="J55" s="4" t="s">
        <v>404</v>
      </c>
      <c r="K55" s="4" t="s">
        <v>28</v>
      </c>
      <c r="L55" s="4" t="s">
        <v>405</v>
      </c>
      <c r="M55" s="4" t="s">
        <v>30</v>
      </c>
      <c r="N55" s="4" t="s">
        <v>406</v>
      </c>
      <c r="O55" s="4" t="s">
        <v>407</v>
      </c>
      <c r="P55" s="4"/>
      <c r="Q55" s="4" t="s">
        <v>408</v>
      </c>
      <c r="R55" s="5" t="s">
        <v>46</v>
      </c>
      <c r="S55" s="5" t="s">
        <v>409</v>
      </c>
      <c r="T55" s="6" t="str">
        <f ca="1">IFERROR(__xludf.DUMMYFUNCTION("REGEXREPLACE(REGEXREPLACE(O55, ""[^0-9]"", """"), ""^620"", ""62"")"),"6281245709619")</f>
        <v>6281245709619</v>
      </c>
    </row>
    <row r="56" spans="1:20" x14ac:dyDescent="0.2">
      <c r="A56" s="4" t="s">
        <v>410</v>
      </c>
      <c r="B56" s="4"/>
      <c r="C56" s="4" t="s">
        <v>20</v>
      </c>
      <c r="D56" s="4" t="s">
        <v>21</v>
      </c>
      <c r="E56" s="4" t="s">
        <v>411</v>
      </c>
      <c r="F56" s="4" t="s">
        <v>23</v>
      </c>
      <c r="G56" s="4" t="s">
        <v>24</v>
      </c>
      <c r="H56" s="4" t="s">
        <v>25</v>
      </c>
      <c r="I56" s="4" t="s">
        <v>262</v>
      </c>
      <c r="J56" s="4" t="s">
        <v>412</v>
      </c>
      <c r="K56" s="4" t="s">
        <v>41</v>
      </c>
      <c r="L56" s="4" t="s">
        <v>29</v>
      </c>
      <c r="M56" s="4" t="s">
        <v>53</v>
      </c>
      <c r="N56" s="4"/>
      <c r="O56" s="4" t="s">
        <v>413</v>
      </c>
      <c r="P56" s="4"/>
      <c r="Q56" s="4" t="s">
        <v>414</v>
      </c>
      <c r="R56" s="5" t="s">
        <v>46</v>
      </c>
      <c r="S56" s="5" t="s">
        <v>317</v>
      </c>
      <c r="T56" s="6" t="str">
        <f ca="1">IFERROR(__xludf.DUMMYFUNCTION("REGEXREPLACE(REGEXREPLACE(O56, ""[^0-9]"", """"), ""^620"", ""62"")"),"6285256450085")</f>
        <v>6285256450085</v>
      </c>
    </row>
    <row r="57" spans="1:20" x14ac:dyDescent="0.2">
      <c r="A57" s="4" t="s">
        <v>415</v>
      </c>
      <c r="B57" s="4"/>
      <c r="C57" s="4" t="s">
        <v>20</v>
      </c>
      <c r="D57" s="4" t="s">
        <v>91</v>
      </c>
      <c r="E57" s="4" t="s">
        <v>416</v>
      </c>
      <c r="F57" s="4" t="s">
        <v>23</v>
      </c>
      <c r="G57" s="4" t="s">
        <v>24</v>
      </c>
      <c r="H57" s="4" t="s">
        <v>25</v>
      </c>
      <c r="I57" s="4" t="s">
        <v>26</v>
      </c>
      <c r="J57" s="4" t="s">
        <v>417</v>
      </c>
      <c r="K57" s="4" t="s">
        <v>41</v>
      </c>
      <c r="L57" s="4" t="s">
        <v>29</v>
      </c>
      <c r="M57" s="4" t="s">
        <v>30</v>
      </c>
      <c r="N57" s="4" t="s">
        <v>418</v>
      </c>
      <c r="O57" s="4" t="s">
        <v>419</v>
      </c>
      <c r="P57" s="4"/>
      <c r="Q57" s="4" t="s">
        <v>420</v>
      </c>
      <c r="R57" s="5" t="s">
        <v>46</v>
      </c>
      <c r="S57" s="5" t="s">
        <v>317</v>
      </c>
      <c r="T57" s="6" t="str">
        <f ca="1">IFERROR(__xludf.DUMMYFUNCTION("REGEXREPLACE(REGEXREPLACE(O57, ""[^0-9]"", """"), ""^620"", ""62"")"),"6285823759457")</f>
        <v>6285823759457</v>
      </c>
    </row>
    <row r="58" spans="1:20" x14ac:dyDescent="0.2">
      <c r="A58" s="4" t="s">
        <v>421</v>
      </c>
      <c r="B58" s="4"/>
      <c r="C58" s="4" t="s">
        <v>20</v>
      </c>
      <c r="D58" s="4" t="s">
        <v>49</v>
      </c>
      <c r="E58" s="4" t="s">
        <v>422</v>
      </c>
      <c r="F58" s="4" t="s">
        <v>23</v>
      </c>
      <c r="G58" s="4" t="s">
        <v>24</v>
      </c>
      <c r="H58" s="4" t="s">
        <v>25</v>
      </c>
      <c r="I58" s="4" t="s">
        <v>51</v>
      </c>
      <c r="J58" s="4" t="s">
        <v>423</v>
      </c>
      <c r="K58" s="4" t="s">
        <v>41</v>
      </c>
      <c r="L58" s="4" t="s">
        <v>42</v>
      </c>
      <c r="M58" s="4" t="s">
        <v>43</v>
      </c>
      <c r="N58" s="4"/>
      <c r="O58" s="4" t="s">
        <v>424</v>
      </c>
      <c r="P58" s="4"/>
      <c r="Q58" s="4" t="s">
        <v>425</v>
      </c>
      <c r="R58" s="5" t="s">
        <v>46</v>
      </c>
      <c r="S58" s="5" t="s">
        <v>426</v>
      </c>
      <c r="T58" s="6" t="str">
        <f ca="1">IFERROR(__xludf.DUMMYFUNCTION("REGEXREPLACE(REGEXREPLACE(O58, ""[^0-9]"", """"), ""^620"", ""62"")"),"6282291572557")</f>
        <v>6282291572557</v>
      </c>
    </row>
  </sheetData>
  <dataValidations count="1">
    <dataValidation type="list" allowBlank="1" showErrorMessage="1" sqref="R2:R58" xr:uid="{8B31F00B-1B47-0244-89F5-965995C856FD}">
      <formula1>"Lolos,Tidak,Perlu dicek"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Gunawan S.ST M.Si</dc:creator>
  <cp:lastModifiedBy>Ahmad Gunawan S.ST M.Si</cp:lastModifiedBy>
  <dcterms:created xsi:type="dcterms:W3CDTF">2025-11-15T13:24:26Z</dcterms:created>
  <dcterms:modified xsi:type="dcterms:W3CDTF">2025-11-15T13:27:13Z</dcterms:modified>
</cp:coreProperties>
</file>