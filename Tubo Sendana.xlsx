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3666C38D-1B95-2646-BE2C-806D23F0E6C0}" xr6:coauthVersionLast="47" xr6:coauthVersionMax="47" xr10:uidLastSave="{00000000-0000-0000-0000-000000000000}"/>
  <bookViews>
    <workbookView xWindow="5580" yWindow="3920" windowWidth="27640" windowHeight="16940" xr2:uid="{C1DABA42-E9D2-4D4E-BF6E-51C5DE5B243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<sst xmlns="http://schemas.openxmlformats.org/spreadsheetml/2006/main" count="300" uniqueCount="156">
  <si>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</si>
  <si>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</si>
  <si>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</si>
  <si>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</si>
  <si>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</si>
  <si>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</si>
  <si>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</si>
  <si>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</si>
  <si>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</si>
  <si>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</si>
  <si>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</si>
  <si>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</si>
  <si>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</si>
  <si>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</si>
  <si>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</si>
  <si>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</si>
  <si>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</si>
  <si>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</si>
  <si>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</si>
  <si>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Catatan Nilai</t>
  </si>
  <si>
    <t>Asmania</t>
  </si>
  <si>
    <t>Belum Konfirmasi</t>
  </si>
  <si>
    <t>Mitra Pengolahan</t>
  </si>
  <si>
    <t xml:space="preserve">Jalan Poros Majene Mamuju </t>
  </si>
  <si>
    <t>76</t>
  </si>
  <si>
    <t>01</t>
  </si>
  <si>
    <t>033</t>
  </si>
  <si>
    <t>008</t>
  </si>
  <si>
    <t>, 28 September 1998 (27)</t>
  </si>
  <si>
    <t>Pr</t>
  </si>
  <si>
    <t>Tamat D4/S1</t>
  </si>
  <si>
    <t>Kader PKK / Karang Taruna / Kader Lainnya</t>
  </si>
  <si>
    <t>+62 823-1846-9787</t>
  </si>
  <si>
    <t>sainalsukma@gmail.com</t>
  </si>
  <si>
    <t>Perlu dicek</t>
  </si>
  <si>
    <t>tidak ada foto, yang terisi hanya profil, tab lain masih kosong</t>
  </si>
  <si>
    <t>Hasriati</t>
  </si>
  <si>
    <t>Mitra Pendataan</t>
  </si>
  <si>
    <t>Dusun Lambangan Desa Bonde-Bonde</t>
  </si>
  <si>
    <t>006</t>
  </si>
  <si>
    <t>, 12 November 1981 (44)</t>
  </si>
  <si>
    <t>Lainnya</t>
  </si>
  <si>
    <t>0</t>
  </si>
  <si>
    <t>+62 821-5179-3371</t>
  </si>
  <si>
    <t>760123020011</t>
  </si>
  <si>
    <t>hasriati1281@gmail.com</t>
  </si>
  <si>
    <t>Lolos</t>
  </si>
  <si>
    <t>- Pernah mengikuti kegiatan BPS (Susenas, Supas, Survei HD)
- S1
- Tidak ada hubungan K/L
- Kendaraan aman</t>
  </si>
  <si>
    <t xml:space="preserve">MUHAMMAD ASHAR </t>
  </si>
  <si>
    <t>Mitra (Pendataan dan Pengolahan)</t>
  </si>
  <si>
    <t xml:space="preserve">TATAKKO </t>
  </si>
  <si>
    <t>007</t>
  </si>
  <si>
    <t>MAJENE, 30 Oktober 1995 (30)</t>
  </si>
  <si>
    <t>Lk</t>
  </si>
  <si>
    <t>Honorer di Balai Penyuluh KB Kec. Tubo Sendana</t>
  </si>
  <si>
    <t>+62 853-9790-6329</t>
  </si>
  <si>
    <t>muhammadashar912@gmail.com</t>
  </si>
  <si>
    <t>minus foto, administrasi lain lengkap, pernah capi (?), honorer</t>
  </si>
  <si>
    <t>- Calon mitra baru
- S1
- Honorer (penjaga malam)
- Kendaraan aman</t>
  </si>
  <si>
    <t>Abd Mubarak</t>
  </si>
  <si>
    <t>Jalan Poros Majene-Mamuju Km 59 Batutaku Kode Pos 91452</t>
  </si>
  <si>
    <t>002</t>
  </si>
  <si>
    <t>MAJENE, 06 Januari 1996 (29)</t>
  </si>
  <si>
    <t>Tamat SMS/Sederajat</t>
  </si>
  <si>
    <t>Aparat Desa / Kelurahan</t>
  </si>
  <si>
    <t>+62 853-4378-5581</t>
  </si>
  <si>
    <t>abdmubarak0696@gmail.com</t>
  </si>
  <si>
    <t>minus foto, administrasi lain lengkap</t>
  </si>
  <si>
    <t>- Calon mitra baru
- SMA
- Tidak ada hubungan K/L
- Kendaraan aman</t>
  </si>
  <si>
    <t>MUH. IFRAD</t>
  </si>
  <si>
    <t xml:space="preserve">Desa Onang Utara dusun Onang </t>
  </si>
  <si>
    <t>003</t>
  </si>
  <si>
    <t>MAJENE, 09 Mei 2000 (25)</t>
  </si>
  <si>
    <t>Pelajar / Mahasiswa</t>
  </si>
  <si>
    <t>+62 821-9886-1864</t>
  </si>
  <si>
    <t>mhmmdifrad00@gmail.com</t>
  </si>
  <si>
    <t>minus foto, administrasi lain lengkap, ikut sensus penduduk(??)</t>
  </si>
  <si>
    <t>FATMAWATI YUNUS</t>
  </si>
  <si>
    <t>Jl. Poros Majene-Mamuju Km. 65</t>
  </si>
  <si>
    <t>MAJENE, 28 Mei 2001 (24)</t>
  </si>
  <si>
    <t>MUA</t>
  </si>
  <si>
    <t>+62 085-3372-71057</t>
  </si>
  <si>
    <t>fatmawatiyunus28@gmail.com</t>
  </si>
  <si>
    <t>minus foto, administrasi lain lengkap, hp iphone</t>
  </si>
  <si>
    <t>- Calon mitra baru
- S1
- Tidak ada hubungan K/L
- Kendaraan aman</t>
  </si>
  <si>
    <t>SUKRIADI</t>
  </si>
  <si>
    <t>Batutaku, Desa Onang, Kec. Tubo Sendana, kabupaten Majene</t>
  </si>
  <si>
    <t>MAJENE, 20 Oktober 2000 (25)</t>
  </si>
  <si>
    <t>+62 853-6094-5624</t>
  </si>
  <si>
    <t>760122090165</t>
  </si>
  <si>
    <t>sukriady393@gmail.com</t>
  </si>
  <si>
    <t>pengalaman tidak sesuai, administrasi lengkap</t>
  </si>
  <si>
    <t>- Pernah mengikuti kegiatan BPS (SP)
- S1
- Tidak ada hubungan K/L
- Kendaraan aman</t>
  </si>
  <si>
    <t>Nur Anisa.Y</t>
  </si>
  <si>
    <t>Jalan poros Majene Mamuju desa onang Utara , dusun belalang tengah, kecamatan tubo Sendana kabupaten majene</t>
  </si>
  <si>
    <t>MAJENE, 17 April 2002 (23)</t>
  </si>
  <si>
    <t>+62 852-3147-2503</t>
  </si>
  <si>
    <t>nuranisay270@gmail.com</t>
  </si>
  <si>
    <t>ijazah belum terupload</t>
  </si>
  <si>
    <t>- Calon mitra baru
- S1
- Tidak ada hubungan K/L
- Kendaraan tidak aman (tidak punya motor)</t>
  </si>
  <si>
    <t>RAHMAWATI</t>
  </si>
  <si>
    <t>lawarang</t>
  </si>
  <si>
    <t>MAJENE, 16 November 1987 (37)</t>
  </si>
  <si>
    <t>Tamat D1/D2/D3</t>
  </si>
  <si>
    <t>+62 812-4406-0859</t>
  </si>
  <si>
    <t>rahmawati22majene@gmail.com</t>
  </si>
  <si>
    <t>- Calon mitra baru
- D3
- Tidak ada hubungan K/L
- Kendaraan aman</t>
  </si>
  <si>
    <t xml:space="preserve">Nur Anisari </t>
  </si>
  <si>
    <t xml:space="preserve">Jl. Poros majene-mamuju, 75 Km desa tubo poang </t>
  </si>
  <si>
    <t>MAJENE, 10 Februari 2002 (23)</t>
  </si>
  <si>
    <t>+62 085-3427-91718</t>
  </si>
  <si>
    <t>nuranisari88@gmail.com</t>
  </si>
  <si>
    <t>MUH. YUSRAN</t>
  </si>
  <si>
    <t>Dusun Tubo Masigi Dhua</t>
  </si>
  <si>
    <t>MAJENE, 20 Agustus 2000 (25)</t>
  </si>
  <si>
    <t>Petani</t>
  </si>
  <si>
    <t>+62 852-5536-1439</t>
  </si>
  <si>
    <t>myusranjr20@gmail.com</t>
  </si>
  <si>
    <t>Jamriah</t>
  </si>
  <si>
    <t>Camba Raya RT/RW 001/001 Desa Bonde Bonde</t>
  </si>
  <si>
    <t>MAJENE, 22 Oktober 1986 (39)</t>
  </si>
  <si>
    <t>Mengurus Rumah Tangga</t>
  </si>
  <si>
    <t>+62 852-4185-0720</t>
  </si>
  <si>
    <t>760123080018</t>
  </si>
  <si>
    <t>jamriahadi121086@gmail.com</t>
  </si>
  <si>
    <t>foto ktp tidak sesuai</t>
  </si>
  <si>
    <t>- Pernah mengikuti kegiatan BPS (Sakernas, KUMKM)
- S1
- Tidak ada hubungan K/L
- Kendaraan aman</t>
  </si>
  <si>
    <t>Nasbiah</t>
  </si>
  <si>
    <t>Dusun  Lambangan</t>
  </si>
  <si>
    <t>MAJENE, 31 Desember 1992 (33)</t>
  </si>
  <si>
    <t>+62 821-9694-5044</t>
  </si>
  <si>
    <t>760122090090</t>
  </si>
  <si>
    <t>nasbiahsaparuddin@gmail.com</t>
  </si>
  <si>
    <t>- Pernah mengikuti kegiatan BPS (Susenas, KUMKM, Regsosek, SKP, SP)
- S1
- Tidak ada hubungan K/L
- Kendaraan aman</t>
  </si>
  <si>
    <t>Fitriah badri</t>
  </si>
  <si>
    <t>Dusun Belalang, desa onang Utara kecamatan Tubo sendana</t>
  </si>
  <si>
    <t>MAJENE, 09 September 1998 (27)</t>
  </si>
  <si>
    <t>Honorer</t>
  </si>
  <si>
    <t>+62 852-2430-1871</t>
  </si>
  <si>
    <t>760123110161</t>
  </si>
  <si>
    <t>Fitriatiar2@gmail.com</t>
  </si>
  <si>
    <t>honorer, administrasi lain lengkap</t>
  </si>
  <si>
    <t>- Calon mitra baru
- S1
- Honorer (kantor kecamatan)
- Kendaraan aman</t>
  </si>
  <si>
    <t>Suliwa</t>
  </si>
  <si>
    <t>Jln Poros Majene Mamuju, Desa Tubo Poang</t>
  </si>
  <si>
    <t>MAJENE, 02 Agustus 2001 (24)</t>
  </si>
  <si>
    <t>+62 821-5372-2652</t>
  </si>
  <si>
    <t>suliwakharim@gmail.com</t>
  </si>
  <si>
    <t>PUDAIL</t>
  </si>
  <si>
    <t>onang utara</t>
  </si>
  <si>
    <t>MAJENE, 19 Juni 2001 (24)</t>
  </si>
  <si>
    <t>+62 085-1566-05769</t>
  </si>
  <si>
    <t>760122020024</t>
  </si>
  <si>
    <t>dhailmuhammad4@gmail.com</t>
  </si>
  <si>
    <t>- Pernah mengikuti kegiatan BPS (KSA, SP, Susenas, Seruti, SKP, ST, Ubinan)
- SMA
- Tidak ada hubungan K/L
- Kendaraan aman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</si>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</sst>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24BD-EE2C-5948-B22F-1326497287FF}">
  <dimension ref="A1:U17"/>
  <sheetViews>
    <sheetView tabSelected="1" topLeftCell="Q1" workbookViewId="0">
      <selection activeCell="U1" sqref="U1"/>
    </sheetView>
  </sheetViews>
  <sheetFormatPr baseColWidth="10" defaultColWidth="12.6640625" defaultRowHeight="15.75" customHeight="1" x14ac:dyDescent="0.2"/>
  <cols>
    <col min="1" max="1" width="17.1640625" customWidth="1"/>
    <col min="2" max="2" width="5.1640625" hidden="1" customWidth="1"/>
    <col min="3" max="3" width="33.1640625" hidden="1" customWidth="1"/>
    <col min="4" max="4" width="26.83203125" customWidth="1"/>
    <col min="5" max="5" width="87.6640625" customWidth="1"/>
    <col min="6" max="6" width="10.33203125" hidden="1" customWidth="1"/>
    <col min="7" max="7" width="9.6640625" hidden="1" customWidth="1"/>
    <col min="8" max="8" width="9.5" hidden="1" customWidth="1"/>
    <col min="9" max="9" width="10.6640625" customWidth="1"/>
    <col min="10" max="10" width="26" customWidth="1"/>
    <col min="11" max="11" width="11.1640625" customWidth="1"/>
    <col min="12" max="12" width="17" customWidth="1"/>
    <col min="13" max="13" width="32.6640625" customWidth="1"/>
    <col min="14" max="14" width="37" customWidth="1"/>
    <col min="15" max="15" width="16.5" customWidth="1"/>
    <col min="16" max="16" width="12.1640625" customWidth="1"/>
    <col min="17" max="17" width="26.1640625" customWidth="1"/>
    <col min="18" max="18" width="13.6640625" customWidth="1"/>
    <col min="19" max="19" width="47.83203125" customWidth="1"/>
    <col min="20" max="20" width="56.1640625" customWidth="1"/>
    <col min="21" max="21" width="16" customWidth="1"/>
  </cols>
  <sheetData>
    <row r="1" spans="1:2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3" t="s">
        <v>19</v>
      </c>
      <c r="U1" s="3" t="s">
        <v>155</v>
      </c>
    </row>
    <row r="2" spans="1:21" ht="16" x14ac:dyDescent="0.2">
      <c r="A2" s="4" t="s">
        <v>20</v>
      </c>
      <c r="B2" s="4"/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/>
      <c r="O2" s="4" t="s">
        <v>32</v>
      </c>
      <c r="P2" s="4"/>
      <c r="Q2" s="4" t="s">
        <v>33</v>
      </c>
      <c r="R2" s="5" t="s">
        <v>34</v>
      </c>
      <c r="S2" s="5" t="s">
        <v>35</v>
      </c>
      <c r="T2" s="3"/>
      <c r="U2" s="3" t="str">
        <f ca="1">IFERROR(__xludf.DUMMYFUNCTION("REGEXREPLACE(REGEXREPLACE(O2, ""[^0-9]"", """"), ""^620"", ""62"")"),"6282318469787")</f>
        <v>6282318469787</v>
      </c>
    </row>
    <row r="3" spans="1:21" ht="16" x14ac:dyDescent="0.2">
      <c r="A3" s="4" t="s">
        <v>36</v>
      </c>
      <c r="B3" s="4"/>
      <c r="C3" s="4" t="s">
        <v>21</v>
      </c>
      <c r="D3" s="4" t="s">
        <v>37</v>
      </c>
      <c r="E3" s="4" t="s">
        <v>38</v>
      </c>
      <c r="F3" s="4" t="s">
        <v>24</v>
      </c>
      <c r="G3" s="4" t="s">
        <v>25</v>
      </c>
      <c r="H3" s="4" t="s">
        <v>26</v>
      </c>
      <c r="I3" s="4" t="s">
        <v>39</v>
      </c>
      <c r="J3" s="4" t="s">
        <v>40</v>
      </c>
      <c r="K3" s="4" t="s">
        <v>29</v>
      </c>
      <c r="L3" s="4" t="s">
        <v>30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5" t="s">
        <v>46</v>
      </c>
      <c r="S3" s="5"/>
      <c r="T3" s="3" t="s">
        <v>47</v>
      </c>
      <c r="U3" s="3" t="str">
        <f ca="1">IFERROR(__xludf.DUMMYFUNCTION("REGEXREPLACE(REGEXREPLACE(O3, ""[^0-9]"", """"), ""^620"", ""62"")"),"6282151793371")</f>
        <v>6282151793371</v>
      </c>
    </row>
    <row r="4" spans="1:21" ht="16" x14ac:dyDescent="0.2">
      <c r="A4" s="4" t="s">
        <v>48</v>
      </c>
      <c r="B4" s="4"/>
      <c r="C4" s="4" t="s">
        <v>21</v>
      </c>
      <c r="D4" s="4" t="s">
        <v>49</v>
      </c>
      <c r="E4" s="4" t="s">
        <v>50</v>
      </c>
      <c r="F4" s="4" t="s">
        <v>24</v>
      </c>
      <c r="G4" s="4" t="s">
        <v>25</v>
      </c>
      <c r="H4" s="4" t="s">
        <v>26</v>
      </c>
      <c r="I4" s="4" t="s">
        <v>51</v>
      </c>
      <c r="J4" s="4" t="s">
        <v>52</v>
      </c>
      <c r="K4" s="4" t="s">
        <v>53</v>
      </c>
      <c r="L4" s="4" t="s">
        <v>30</v>
      </c>
      <c r="M4" s="4" t="s">
        <v>41</v>
      </c>
      <c r="N4" s="4" t="s">
        <v>54</v>
      </c>
      <c r="O4" s="4" t="s">
        <v>55</v>
      </c>
      <c r="P4" s="4"/>
      <c r="Q4" s="4" t="s">
        <v>56</v>
      </c>
      <c r="R4" s="5" t="s">
        <v>34</v>
      </c>
      <c r="S4" s="5" t="s">
        <v>57</v>
      </c>
      <c r="T4" s="3" t="s">
        <v>58</v>
      </c>
      <c r="U4" s="3" t="str">
        <f ca="1">IFERROR(__xludf.DUMMYFUNCTION("REGEXREPLACE(REGEXREPLACE(O4, ""[^0-9]"", """"), ""^620"", ""62"")"),"6285397906329")</f>
        <v>6285397906329</v>
      </c>
    </row>
    <row r="5" spans="1:21" ht="16" x14ac:dyDescent="0.2">
      <c r="A5" s="4" t="s">
        <v>59</v>
      </c>
      <c r="B5" s="4"/>
      <c r="C5" s="4" t="s">
        <v>21</v>
      </c>
      <c r="D5" s="4" t="s">
        <v>49</v>
      </c>
      <c r="E5" s="4" t="s">
        <v>60</v>
      </c>
      <c r="F5" s="4" t="s">
        <v>24</v>
      </c>
      <c r="G5" s="4" t="s">
        <v>25</v>
      </c>
      <c r="H5" s="4" t="s">
        <v>26</v>
      </c>
      <c r="I5" s="4" t="s">
        <v>61</v>
      </c>
      <c r="J5" s="4" t="s">
        <v>62</v>
      </c>
      <c r="K5" s="4" t="s">
        <v>53</v>
      </c>
      <c r="L5" s="4" t="s">
        <v>63</v>
      </c>
      <c r="M5" s="4" t="s">
        <v>64</v>
      </c>
      <c r="N5" s="4"/>
      <c r="O5" s="4" t="s">
        <v>65</v>
      </c>
      <c r="P5" s="4"/>
      <c r="Q5" s="4" t="s">
        <v>66</v>
      </c>
      <c r="R5" s="5" t="s">
        <v>34</v>
      </c>
      <c r="S5" s="5" t="s">
        <v>67</v>
      </c>
      <c r="T5" s="3" t="s">
        <v>68</v>
      </c>
      <c r="U5" s="3" t="str">
        <f ca="1">IFERROR(__xludf.DUMMYFUNCTION("REGEXREPLACE(REGEXREPLACE(O5, ""[^0-9]"", """"), ""^620"", ""62"")"),"6285343785581")</f>
        <v>6285343785581</v>
      </c>
    </row>
    <row r="6" spans="1:21" ht="16" x14ac:dyDescent="0.2">
      <c r="A6" s="4" t="s">
        <v>69</v>
      </c>
      <c r="B6" s="4"/>
      <c r="C6" s="4" t="s">
        <v>21</v>
      </c>
      <c r="D6" s="4" t="s">
        <v>49</v>
      </c>
      <c r="E6" s="4" t="s">
        <v>70</v>
      </c>
      <c r="F6" s="4" t="s">
        <v>24</v>
      </c>
      <c r="G6" s="4" t="s">
        <v>25</v>
      </c>
      <c r="H6" s="4" t="s">
        <v>26</v>
      </c>
      <c r="I6" s="4" t="s">
        <v>71</v>
      </c>
      <c r="J6" s="4" t="s">
        <v>72</v>
      </c>
      <c r="K6" s="4" t="s">
        <v>53</v>
      </c>
      <c r="L6" s="4" t="s">
        <v>63</v>
      </c>
      <c r="M6" s="4" t="s">
        <v>73</v>
      </c>
      <c r="N6" s="4"/>
      <c r="O6" s="4" t="s">
        <v>74</v>
      </c>
      <c r="P6" s="4"/>
      <c r="Q6" s="4" t="s">
        <v>75</v>
      </c>
      <c r="R6" s="5" t="s">
        <v>34</v>
      </c>
      <c r="S6" s="5" t="s">
        <v>76</v>
      </c>
      <c r="T6" s="3" t="s">
        <v>68</v>
      </c>
      <c r="U6" s="3" t="str">
        <f ca="1">IFERROR(__xludf.DUMMYFUNCTION("REGEXREPLACE(REGEXREPLACE(O6, ""[^0-9]"", """"), ""^620"", ""62"")"),"6282198861864")</f>
        <v>6282198861864</v>
      </c>
    </row>
    <row r="7" spans="1:21" ht="16" x14ac:dyDescent="0.2">
      <c r="A7" s="4" t="s">
        <v>77</v>
      </c>
      <c r="B7" s="4"/>
      <c r="C7" s="4" t="s">
        <v>21</v>
      </c>
      <c r="D7" s="4" t="s">
        <v>22</v>
      </c>
      <c r="E7" s="4" t="s">
        <v>78</v>
      </c>
      <c r="F7" s="4" t="s">
        <v>24</v>
      </c>
      <c r="G7" s="4" t="s">
        <v>25</v>
      </c>
      <c r="H7" s="4" t="s">
        <v>26</v>
      </c>
      <c r="I7" s="4" t="s">
        <v>39</v>
      </c>
      <c r="J7" s="4" t="s">
        <v>79</v>
      </c>
      <c r="K7" s="4" t="s">
        <v>29</v>
      </c>
      <c r="L7" s="4" t="s">
        <v>30</v>
      </c>
      <c r="M7" s="4" t="s">
        <v>41</v>
      </c>
      <c r="N7" s="4" t="s">
        <v>80</v>
      </c>
      <c r="O7" s="4" t="s">
        <v>81</v>
      </c>
      <c r="P7" s="4"/>
      <c r="Q7" s="4" t="s">
        <v>82</v>
      </c>
      <c r="R7" s="5" t="s">
        <v>34</v>
      </c>
      <c r="S7" s="5" t="s">
        <v>83</v>
      </c>
      <c r="T7" s="3" t="s">
        <v>84</v>
      </c>
      <c r="U7" s="3" t="str">
        <f ca="1">IFERROR(__xludf.DUMMYFUNCTION("REGEXREPLACE(REGEXREPLACE(O7, ""[^0-9]"", """"), ""^620"", ""62"")"),"6285337271057")</f>
        <v>6285337271057</v>
      </c>
    </row>
    <row r="8" spans="1:21" ht="16" x14ac:dyDescent="0.2">
      <c r="A8" s="4" t="s">
        <v>85</v>
      </c>
      <c r="B8" s="4"/>
      <c r="C8" s="4" t="s">
        <v>21</v>
      </c>
      <c r="D8" s="4" t="s">
        <v>49</v>
      </c>
      <c r="E8" s="4" t="s">
        <v>86</v>
      </c>
      <c r="F8" s="4" t="s">
        <v>24</v>
      </c>
      <c r="G8" s="4" t="s">
        <v>25</v>
      </c>
      <c r="H8" s="4" t="s">
        <v>26</v>
      </c>
      <c r="I8" s="4" t="s">
        <v>61</v>
      </c>
      <c r="J8" s="4" t="s">
        <v>87</v>
      </c>
      <c r="K8" s="4" t="s">
        <v>53</v>
      </c>
      <c r="L8" s="4" t="s">
        <v>63</v>
      </c>
      <c r="M8" s="4" t="s">
        <v>73</v>
      </c>
      <c r="N8" s="4"/>
      <c r="O8" s="4" t="s">
        <v>88</v>
      </c>
      <c r="P8" s="4" t="s">
        <v>89</v>
      </c>
      <c r="Q8" s="4" t="s">
        <v>90</v>
      </c>
      <c r="R8" s="5" t="s">
        <v>34</v>
      </c>
      <c r="S8" s="5" t="s">
        <v>91</v>
      </c>
      <c r="T8" s="3" t="s">
        <v>92</v>
      </c>
      <c r="U8" s="3" t="str">
        <f ca="1">IFERROR(__xludf.DUMMYFUNCTION("REGEXREPLACE(REGEXREPLACE(O8, ""[^0-9]"", """"), ""^620"", ""62"")"),"6285360945624")</f>
        <v>6285360945624</v>
      </c>
    </row>
    <row r="9" spans="1:21" ht="16" x14ac:dyDescent="0.2">
      <c r="A9" s="4" t="s">
        <v>93</v>
      </c>
      <c r="B9" s="4"/>
      <c r="C9" s="4" t="s">
        <v>21</v>
      </c>
      <c r="D9" s="4" t="s">
        <v>49</v>
      </c>
      <c r="E9" s="4" t="s">
        <v>94</v>
      </c>
      <c r="F9" s="4" t="s">
        <v>24</v>
      </c>
      <c r="G9" s="4" t="s">
        <v>25</v>
      </c>
      <c r="H9" s="4" t="s">
        <v>26</v>
      </c>
      <c r="I9" s="4" t="s">
        <v>71</v>
      </c>
      <c r="J9" s="4" t="s">
        <v>95</v>
      </c>
      <c r="K9" s="4" t="s">
        <v>29</v>
      </c>
      <c r="L9" s="4" t="s">
        <v>30</v>
      </c>
      <c r="M9" s="4" t="s">
        <v>73</v>
      </c>
      <c r="N9" s="4"/>
      <c r="O9" s="4" t="s">
        <v>96</v>
      </c>
      <c r="P9" s="4"/>
      <c r="Q9" s="4" t="s">
        <v>97</v>
      </c>
      <c r="R9" s="5" t="s">
        <v>34</v>
      </c>
      <c r="S9" s="5" t="s">
        <v>98</v>
      </c>
      <c r="T9" s="3" t="s">
        <v>99</v>
      </c>
      <c r="U9" s="3" t="str">
        <f ca="1">IFERROR(__xludf.DUMMYFUNCTION("REGEXREPLACE(REGEXREPLACE(O9, ""[^0-9]"", """"), ""^620"", ""62"")"),"6285231472503")</f>
        <v>6285231472503</v>
      </c>
    </row>
    <row r="10" spans="1:21" ht="16" x14ac:dyDescent="0.2">
      <c r="A10" s="4" t="s">
        <v>100</v>
      </c>
      <c r="B10" s="4"/>
      <c r="C10" s="4" t="s">
        <v>21</v>
      </c>
      <c r="D10" s="4" t="s">
        <v>37</v>
      </c>
      <c r="E10" s="4" t="s">
        <v>101</v>
      </c>
      <c r="F10" s="4" t="s">
        <v>24</v>
      </c>
      <c r="G10" s="4" t="s">
        <v>25</v>
      </c>
      <c r="H10" s="4" t="s">
        <v>26</v>
      </c>
      <c r="I10" s="4" t="s">
        <v>51</v>
      </c>
      <c r="J10" s="4" t="s">
        <v>102</v>
      </c>
      <c r="K10" s="4" t="s">
        <v>29</v>
      </c>
      <c r="L10" s="4" t="s">
        <v>103</v>
      </c>
      <c r="M10" s="4" t="s">
        <v>31</v>
      </c>
      <c r="N10" s="4"/>
      <c r="O10" s="4" t="s">
        <v>104</v>
      </c>
      <c r="P10" s="4"/>
      <c r="Q10" s="4" t="s">
        <v>105</v>
      </c>
      <c r="R10" s="5" t="s">
        <v>34</v>
      </c>
      <c r="S10" s="5" t="s">
        <v>67</v>
      </c>
      <c r="T10" s="3" t="s">
        <v>106</v>
      </c>
      <c r="U10" s="3" t="str">
        <f ca="1">IFERROR(__xludf.DUMMYFUNCTION("REGEXREPLACE(REGEXREPLACE(O10, ""[^0-9]"", """"), ""^620"", ""62"")"),"6281244060859")</f>
        <v>6281244060859</v>
      </c>
    </row>
    <row r="11" spans="1:21" ht="16" x14ac:dyDescent="0.2">
      <c r="A11" s="4" t="s">
        <v>107</v>
      </c>
      <c r="B11" s="4"/>
      <c r="C11" s="4" t="s">
        <v>21</v>
      </c>
      <c r="D11" s="4" t="s">
        <v>37</v>
      </c>
      <c r="E11" s="4" t="s">
        <v>108</v>
      </c>
      <c r="F11" s="4" t="s">
        <v>24</v>
      </c>
      <c r="G11" s="4" t="s">
        <v>25</v>
      </c>
      <c r="H11" s="4" t="s">
        <v>26</v>
      </c>
      <c r="I11" s="4" t="s">
        <v>27</v>
      </c>
      <c r="J11" s="4" t="s">
        <v>109</v>
      </c>
      <c r="K11" s="4" t="s">
        <v>29</v>
      </c>
      <c r="L11" s="4" t="s">
        <v>63</v>
      </c>
      <c r="M11" s="4" t="s">
        <v>73</v>
      </c>
      <c r="N11" s="4"/>
      <c r="O11" s="4" t="s">
        <v>110</v>
      </c>
      <c r="P11" s="4"/>
      <c r="Q11" s="4" t="s">
        <v>111</v>
      </c>
      <c r="R11" s="5" t="s">
        <v>34</v>
      </c>
      <c r="S11" s="5" t="s">
        <v>91</v>
      </c>
      <c r="T11" s="3" t="s">
        <v>68</v>
      </c>
      <c r="U11" s="3" t="str">
        <f ca="1">IFERROR(__xludf.DUMMYFUNCTION("REGEXREPLACE(REGEXREPLACE(O11, ""[^0-9]"", """"), ""^620"", ""62"")"),"6285342791718")</f>
        <v>6285342791718</v>
      </c>
    </row>
    <row r="12" spans="1:21" ht="16" x14ac:dyDescent="0.2">
      <c r="A12" s="4" t="s">
        <v>112</v>
      </c>
      <c r="B12" s="4"/>
      <c r="C12" s="4" t="s">
        <v>21</v>
      </c>
      <c r="D12" s="4" t="s">
        <v>37</v>
      </c>
      <c r="E12" s="4" t="s">
        <v>113</v>
      </c>
      <c r="F12" s="4" t="s">
        <v>24</v>
      </c>
      <c r="G12" s="4" t="s">
        <v>25</v>
      </c>
      <c r="H12" s="4" t="s">
        <v>26</v>
      </c>
      <c r="I12" s="4" t="s">
        <v>27</v>
      </c>
      <c r="J12" s="4" t="s">
        <v>114</v>
      </c>
      <c r="K12" s="4" t="s">
        <v>53</v>
      </c>
      <c r="L12" s="4" t="s">
        <v>30</v>
      </c>
      <c r="M12" s="4" t="s">
        <v>41</v>
      </c>
      <c r="N12" s="4" t="s">
        <v>115</v>
      </c>
      <c r="O12" s="4" t="s">
        <v>116</v>
      </c>
      <c r="P12" s="4"/>
      <c r="Q12" s="4" t="s">
        <v>117</v>
      </c>
      <c r="R12" s="5" t="s">
        <v>34</v>
      </c>
      <c r="S12" s="5" t="s">
        <v>67</v>
      </c>
      <c r="T12" s="3" t="s">
        <v>84</v>
      </c>
      <c r="U12" s="3" t="str">
        <f ca="1">IFERROR(__xludf.DUMMYFUNCTION("REGEXREPLACE(REGEXREPLACE(O12, ""[^0-9]"", """"), ""^620"", ""62"")"),"6285255361439")</f>
        <v>6285255361439</v>
      </c>
    </row>
    <row r="13" spans="1:21" ht="16" x14ac:dyDescent="0.2">
      <c r="A13" s="4" t="s">
        <v>118</v>
      </c>
      <c r="B13" s="4"/>
      <c r="C13" s="4" t="s">
        <v>21</v>
      </c>
      <c r="D13" s="4" t="s">
        <v>37</v>
      </c>
      <c r="E13" s="4" t="s">
        <v>119</v>
      </c>
      <c r="F13" s="4" t="s">
        <v>24</v>
      </c>
      <c r="G13" s="4" t="s">
        <v>25</v>
      </c>
      <c r="H13" s="4" t="s">
        <v>26</v>
      </c>
      <c r="I13" s="4" t="s">
        <v>39</v>
      </c>
      <c r="J13" s="4" t="s">
        <v>120</v>
      </c>
      <c r="K13" s="4" t="s">
        <v>29</v>
      </c>
      <c r="L13" s="4" t="s">
        <v>30</v>
      </c>
      <c r="M13" s="4" t="s">
        <v>121</v>
      </c>
      <c r="N13" s="4"/>
      <c r="O13" s="4" t="s">
        <v>122</v>
      </c>
      <c r="P13" s="4" t="s">
        <v>123</v>
      </c>
      <c r="Q13" s="4" t="s">
        <v>124</v>
      </c>
      <c r="R13" s="5" t="s">
        <v>34</v>
      </c>
      <c r="S13" s="5" t="s">
        <v>125</v>
      </c>
      <c r="T13" s="3" t="s">
        <v>126</v>
      </c>
      <c r="U13" s="3" t="str">
        <f ca="1">IFERROR(__xludf.DUMMYFUNCTION("REGEXREPLACE(REGEXREPLACE(O13, ""[^0-9]"", """"), ""^620"", ""62"")"),"6285241850720")</f>
        <v>6285241850720</v>
      </c>
    </row>
    <row r="14" spans="1:21" ht="16" x14ac:dyDescent="0.2">
      <c r="A14" s="4" t="s">
        <v>127</v>
      </c>
      <c r="B14" s="4"/>
      <c r="C14" s="4" t="s">
        <v>21</v>
      </c>
      <c r="D14" s="4" t="s">
        <v>37</v>
      </c>
      <c r="E14" s="4" t="s">
        <v>128</v>
      </c>
      <c r="F14" s="4" t="s">
        <v>24</v>
      </c>
      <c r="G14" s="4" t="s">
        <v>25</v>
      </c>
      <c r="H14" s="4" t="s">
        <v>26</v>
      </c>
      <c r="I14" s="4" t="s">
        <v>39</v>
      </c>
      <c r="J14" s="4" t="s">
        <v>129</v>
      </c>
      <c r="K14" s="4" t="s">
        <v>29</v>
      </c>
      <c r="L14" s="4" t="s">
        <v>30</v>
      </c>
      <c r="M14" s="4" t="s">
        <v>41</v>
      </c>
      <c r="N14" s="4" t="s">
        <v>42</v>
      </c>
      <c r="O14" s="4" t="s">
        <v>130</v>
      </c>
      <c r="P14" s="4" t="s">
        <v>131</v>
      </c>
      <c r="Q14" s="4" t="s">
        <v>132</v>
      </c>
      <c r="R14" s="5" t="s">
        <v>46</v>
      </c>
      <c r="S14" s="5"/>
      <c r="T14" s="3" t="s">
        <v>133</v>
      </c>
      <c r="U14" s="3" t="str">
        <f ca="1">IFERROR(__xludf.DUMMYFUNCTION("REGEXREPLACE(REGEXREPLACE(O14, ""[^0-9]"", """"), ""^620"", ""62"")"),"6282196945044")</f>
        <v>6282196945044</v>
      </c>
    </row>
    <row r="15" spans="1:21" ht="16" x14ac:dyDescent="0.2">
      <c r="A15" s="4" t="s">
        <v>134</v>
      </c>
      <c r="B15" s="4"/>
      <c r="C15" s="4" t="s">
        <v>21</v>
      </c>
      <c r="D15" s="4" t="s">
        <v>37</v>
      </c>
      <c r="E15" s="4" t="s">
        <v>135</v>
      </c>
      <c r="F15" s="4" t="s">
        <v>24</v>
      </c>
      <c r="G15" s="4" t="s">
        <v>25</v>
      </c>
      <c r="H15" s="4" t="s">
        <v>26</v>
      </c>
      <c r="I15" s="4" t="s">
        <v>71</v>
      </c>
      <c r="J15" s="4" t="s">
        <v>136</v>
      </c>
      <c r="K15" s="4" t="s">
        <v>29</v>
      </c>
      <c r="L15" s="4" t="s">
        <v>30</v>
      </c>
      <c r="M15" s="4" t="s">
        <v>41</v>
      </c>
      <c r="N15" s="4" t="s">
        <v>137</v>
      </c>
      <c r="O15" s="4" t="s">
        <v>138</v>
      </c>
      <c r="P15" s="4" t="s">
        <v>139</v>
      </c>
      <c r="Q15" s="4" t="s">
        <v>140</v>
      </c>
      <c r="R15" s="5" t="s">
        <v>34</v>
      </c>
      <c r="S15" s="5" t="s">
        <v>141</v>
      </c>
      <c r="T15" s="3" t="s">
        <v>142</v>
      </c>
      <c r="U15" s="3" t="str">
        <f ca="1">IFERROR(__xludf.DUMMYFUNCTION("REGEXREPLACE(REGEXREPLACE(O15, ""[^0-9]"", """"), ""^620"", ""62"")"),"6285224301871")</f>
        <v>6285224301871</v>
      </c>
    </row>
    <row r="16" spans="1:21" ht="16" x14ac:dyDescent="0.2">
      <c r="A16" s="4" t="s">
        <v>143</v>
      </c>
      <c r="B16" s="4"/>
      <c r="C16" s="4" t="s">
        <v>21</v>
      </c>
      <c r="D16" s="4" t="s">
        <v>37</v>
      </c>
      <c r="E16" s="4" t="s">
        <v>144</v>
      </c>
      <c r="F16" s="4" t="s">
        <v>24</v>
      </c>
      <c r="G16" s="4" t="s">
        <v>25</v>
      </c>
      <c r="H16" s="4" t="s">
        <v>26</v>
      </c>
      <c r="I16" s="4" t="s">
        <v>27</v>
      </c>
      <c r="J16" s="4" t="s">
        <v>145</v>
      </c>
      <c r="K16" s="4" t="s">
        <v>53</v>
      </c>
      <c r="L16" s="4" t="s">
        <v>63</v>
      </c>
      <c r="M16" s="4" t="s">
        <v>73</v>
      </c>
      <c r="N16" s="4"/>
      <c r="O16" s="4" t="s">
        <v>146</v>
      </c>
      <c r="P16" s="4"/>
      <c r="Q16" s="4" t="s">
        <v>147</v>
      </c>
      <c r="R16" s="5" t="s">
        <v>46</v>
      </c>
      <c r="S16" s="5"/>
      <c r="T16" s="3" t="s">
        <v>68</v>
      </c>
      <c r="U16" s="3" t="str">
        <f ca="1">IFERROR(__xludf.DUMMYFUNCTION("REGEXREPLACE(REGEXREPLACE(O16, ""[^0-9]"", """"), ""^620"", ""62"")"),"6282153722652")</f>
        <v>6282153722652</v>
      </c>
    </row>
    <row r="17" spans="1:21" ht="16" x14ac:dyDescent="0.2">
      <c r="A17" s="4" t="s">
        <v>148</v>
      </c>
      <c r="B17" s="4"/>
      <c r="C17" s="4" t="s">
        <v>21</v>
      </c>
      <c r="D17" s="4" t="s">
        <v>37</v>
      </c>
      <c r="E17" s="4" t="s">
        <v>149</v>
      </c>
      <c r="F17" s="4" t="s">
        <v>24</v>
      </c>
      <c r="G17" s="4" t="s">
        <v>25</v>
      </c>
      <c r="H17" s="4" t="s">
        <v>26</v>
      </c>
      <c r="I17" s="4" t="s">
        <v>71</v>
      </c>
      <c r="J17" s="4" t="s">
        <v>150</v>
      </c>
      <c r="K17" s="4" t="s">
        <v>53</v>
      </c>
      <c r="L17" s="4" t="s">
        <v>63</v>
      </c>
      <c r="M17" s="4" t="s">
        <v>73</v>
      </c>
      <c r="N17" s="4"/>
      <c r="O17" s="4" t="s">
        <v>151</v>
      </c>
      <c r="P17" s="4" t="s">
        <v>152</v>
      </c>
      <c r="Q17" s="4" t="s">
        <v>153</v>
      </c>
      <c r="R17" s="5" t="s">
        <v>46</v>
      </c>
      <c r="S17" s="5"/>
      <c r="T17" s="3" t="s">
        <v>154</v>
      </c>
      <c r="U17" s="3" t="str">
        <f ca="1">IFERROR(__xludf.DUMMYFUNCTION("REGEXREPLACE(REGEXREPLACE(O17, ""[^0-9]"", """"), ""^620"", ""62"")"),"6285156605769")</f>
        <v>6285156605769</v>
      </c>
    </row>
  </sheetData>
  <dataValidations count="1">
    <dataValidation type="list" allowBlank="1" showErrorMessage="1" sqref="R2:R17" xr:uid="{4DFCFF4B-E4C4-2944-9890-1D866867AFA5}">
      <formula1>"Lolos,Tidak,Perlu dicek"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2025-11-15T13:25:32Z</dcterms:created>
  <dcterms:modified xsi:type="dcterms:W3CDTF">2025-11-15T13:31:55Z</dcterms:modified>
</cp:coreProperties>
</file>