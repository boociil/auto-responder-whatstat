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D2D3C554-0105-BD44-883C-03A1EE5A7AD3}" xr6:coauthVersionLast="47" xr6:coauthVersionMax="47" xr10:uidLastSave="{00000000-0000-0000-0000-000000000000}"/>
  <bookViews>
    <workbookView xWindow="5580" yWindow="3920" windowWidth="27640" windowHeight="16940" xr2:uid="{E6F09C08-C3C5-0D4C-9825-51A394628CF3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1" l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<sst xmlns="http://schemas.openxmlformats.org/spreadsheetml/2006/main" count="647" uniqueCount="298">
  <si>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</si>
  <si>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</si>
  <si>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</si>
  <si>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</si>
  <si>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</si>
  <si>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</si>
  <si>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</si>
  <si>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</si>
  <si>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</si>
  <si>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</si>
  <si>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</si>
  <si>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</si>
  <si>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</si>
  <si>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</si>
  <si>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</si>
  <si>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</si>
  <si>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</si>
  <si>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</si>
  <si>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</si>
  <si>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Eva sundari</t>
  </si>
  <si>
    <t>Belum Konfirmasi</t>
  </si>
  <si>
    <t>Mitra Pendataan</t>
  </si>
  <si>
    <t>Jl. Niaga Malunda</t>
  </si>
  <si>
    <t>76</t>
  </si>
  <si>
    <t>01</t>
  </si>
  <si>
    <t>040</t>
  </si>
  <si>
    <t>012</t>
  </si>
  <si>
    <t>, 27 Juli 2000 (25)</t>
  </si>
  <si>
    <t>Pr</t>
  </si>
  <si>
    <t>Tamat SMS/Sederajat</t>
  </si>
  <si>
    <t>Mengurus Rumah Tangga</t>
  </si>
  <si>
    <t>+62 812-4231-1897</t>
  </si>
  <si>
    <t>760122030037</t>
  </si>
  <si>
    <t>evsuneva8@gmail.com</t>
  </si>
  <si>
    <t>Lolos</t>
  </si>
  <si>
    <t>Alamat tidak sesuai KTP tapi sama-sama malunda, gapunya laptop</t>
  </si>
  <si>
    <t>Yusran</t>
  </si>
  <si>
    <t>Jalan poros Majene_Mamuju</t>
  </si>
  <si>
    <t>010</t>
  </si>
  <si>
    <t>, 02 Agustus 1994 (31)</t>
  </si>
  <si>
    <t>Lk</t>
  </si>
  <si>
    <t>Tamat D4/S1</t>
  </si>
  <si>
    <t>Wiraswasta</t>
  </si>
  <si>
    <t>+62 085-1459-52002</t>
  </si>
  <si>
    <t>760122030054</t>
  </si>
  <si>
    <t>yusranmmj19@gmail.com</t>
  </si>
  <si>
    <t>Perlu dicek</t>
  </si>
  <si>
    <t>ga uplload ijazah, gapunya laptop tp bisa</t>
  </si>
  <si>
    <t>DINAR NAJRAN</t>
  </si>
  <si>
    <t>Jalan Empat Lima Lingk. Sasende, Kel. Malunda, Kec. Malunda</t>
  </si>
  <si>
    <t>006</t>
  </si>
  <si>
    <t>, 17 April 1993 (32)</t>
  </si>
  <si>
    <t>Lainnya</t>
  </si>
  <si>
    <t>Freelance</t>
  </si>
  <si>
    <t>+62 085-2314-91131</t>
  </si>
  <si>
    <t>760122090004</t>
  </si>
  <si>
    <t>dinarnajran5@gmail.com</t>
  </si>
  <si>
    <t>foto ga bg merah, dihistory blm pernah ikut sakernas tp di centang</t>
  </si>
  <si>
    <t>Sunardi, S.IP</t>
  </si>
  <si>
    <t>Dusun Tanisi Desa Mekkatta Selatan</t>
  </si>
  <si>
    <t>016</t>
  </si>
  <si>
    <t>, 31 Desember 1987 (38)</t>
  </si>
  <si>
    <t>Aparat Desa / Kelurahan</t>
  </si>
  <si>
    <t>+62 082-2442-58366</t>
  </si>
  <si>
    <t>760122090193</t>
  </si>
  <si>
    <t>niniahon@yahoo.co.id</t>
  </si>
  <si>
    <t>foto ga bg merah, ga upload ijazah, dihistory gaada sensus penduduk tp di centang</t>
  </si>
  <si>
    <t>diceklagi diseleksi akhir</t>
  </si>
  <si>
    <t xml:space="preserve">AHMAD HAZAIRIN </t>
  </si>
  <si>
    <t>Jln poros Majene mamuju</t>
  </si>
  <si>
    <t>, 17 Agustus 2002 (23)</t>
  </si>
  <si>
    <t>+62 821-8332-8415</t>
  </si>
  <si>
    <t>hazairin460@gmail.com</t>
  </si>
  <si>
    <t>Tahun lahir di KTP bercahaya</t>
  </si>
  <si>
    <t>Wildana</t>
  </si>
  <si>
    <t xml:space="preserve">Tammaende, jalan bambu runcing </t>
  </si>
  <si>
    <t>, 01 Maret 2001 (24)</t>
  </si>
  <si>
    <t>Pegawai / Guru Honorer</t>
  </si>
  <si>
    <t>+62 852-5985-6539</t>
  </si>
  <si>
    <t>wildana0103@gmail.com</t>
  </si>
  <si>
    <t>Gaada file yg di upload, data ga diupdate</t>
  </si>
  <si>
    <t>Muhammad Fachry</t>
  </si>
  <si>
    <t>Jl. lembah, Lingk. Kalorang</t>
  </si>
  <si>
    <t>, 17 Mei 2001 (24)</t>
  </si>
  <si>
    <t>Tidak ada</t>
  </si>
  <si>
    <t>+62 085-6950-43615</t>
  </si>
  <si>
    <t>habrimexx86@gmail.com</t>
  </si>
  <si>
    <t>gaupload foto , blm ada pengalaman ga upload ktp dan ijazah, rekening jga gaada</t>
  </si>
  <si>
    <t>Mohamad Rafly Pramana</t>
  </si>
  <si>
    <t>Jl 45 Tammaende, Lingk. Tammaende</t>
  </si>
  <si>
    <t>SUMENEP, 30 Maret 2002 (23)</t>
  </si>
  <si>
    <t>+62 812-2041-2121</t>
  </si>
  <si>
    <t>raflyreff2002@gmail.com</t>
  </si>
  <si>
    <t>gaaada foto, npwp -, lulusan D4/S1 tp ijazah yg diup SMA</t>
  </si>
  <si>
    <t>Asma A</t>
  </si>
  <si>
    <t>Lingk. Tammaende</t>
  </si>
  <si>
    <t>PINRANG, 01 Juli 1980 (45)</t>
  </si>
  <si>
    <t>Tamat D1/D2/D3</t>
  </si>
  <si>
    <t>+62 008-2348-93582</t>
  </si>
  <si>
    <t>760123020007</t>
  </si>
  <si>
    <t>asmapinrang80@gmail.com</t>
  </si>
  <si>
    <t>bg ga merah, istri pak masykur P3K?</t>
  </si>
  <si>
    <t>628234893582</t>
  </si>
  <si>
    <t>Adhitya Pratama M</t>
  </si>
  <si>
    <t>Lingk. Tammaende Kelurahan Lamungan Batu</t>
  </si>
  <si>
    <t>PINRANG, 17 Agustus 2005 (20)</t>
  </si>
  <si>
    <t>Pelajar / Mahasiswa</t>
  </si>
  <si>
    <t>+62 082-2350-77981</t>
  </si>
  <si>
    <t>adhityapratama170805@gmail.com</t>
  </si>
  <si>
    <t>gaada foto, blm punya pengalaman kegiatan dan capi, gapunya dan gabisa mengoprasikan pc/laptop</t>
  </si>
  <si>
    <t>Sukma Dewi S</t>
  </si>
  <si>
    <t>Mitra (Pendataan dan Pengolahan)</t>
  </si>
  <si>
    <t>Dusun mekkatta</t>
  </si>
  <si>
    <t>009</t>
  </si>
  <si>
    <t>MAJENE, 24 Oktober 1995 (30)</t>
  </si>
  <si>
    <t>sales Motor Honda</t>
  </si>
  <si>
    <t>+62 822-9109-6334</t>
  </si>
  <si>
    <t>sukmadewis32@gmail.com</t>
  </si>
  <si>
    <t>gaada foto, gaada ktp dan ijazah, blm ada pengalaman kegiatan dan capi</t>
  </si>
  <si>
    <t xml:space="preserve">fardilla </t>
  </si>
  <si>
    <t xml:space="preserve">Lingkungan Malunda </t>
  </si>
  <si>
    <t>MAJENE, 10 Desember 2005 (20)</t>
  </si>
  <si>
    <t>+62 823-1726-7668</t>
  </si>
  <si>
    <t>fardiladila2001@gmail.com</t>
  </si>
  <si>
    <t>gaada foto, blm punya pengalaman,gaada laptop</t>
  </si>
  <si>
    <t>Faridah</t>
  </si>
  <si>
    <t>Lingkungan Malunda Kelurahan Malunda</t>
  </si>
  <si>
    <t>MAJENE, 31 Desember 1985 (40)</t>
  </si>
  <si>
    <t>+62 821-2131-4133</t>
  </si>
  <si>
    <t>idah4859@gmail.com</t>
  </si>
  <si>
    <t>gaada foto, pengalaman sensus pertanian tp gaada dihistori</t>
  </si>
  <si>
    <t>NURUL MAGHFIRAH R</t>
  </si>
  <si>
    <t>Lingkungan sekka</t>
  </si>
  <si>
    <t>MAJENE, 26 September 2003 (22)</t>
  </si>
  <si>
    <t>Karyawan</t>
  </si>
  <si>
    <t>+62 081-3546-97088</t>
  </si>
  <si>
    <t>760122090040</t>
  </si>
  <si>
    <t>nrmaghfirahr@gmail.com</t>
  </si>
  <si>
    <t>gaada foto ijazah</t>
  </si>
  <si>
    <t>HARIANSYAH</t>
  </si>
  <si>
    <t>Jl. Empat lima Kel. Malunda lingk. Sasende</t>
  </si>
  <si>
    <t>MAJENE, 23 Mei 1988 (37)</t>
  </si>
  <si>
    <t>Honorer</t>
  </si>
  <si>
    <t>+62 082-9195-8214</t>
  </si>
  <si>
    <t>760123030005</t>
  </si>
  <si>
    <t>anchasatya22@gmail.com</t>
  </si>
  <si>
    <t>tp katanya dani lolos p3k?</t>
  </si>
  <si>
    <t>IQBAL S</t>
  </si>
  <si>
    <t>Jl. Bambu Runcing Lingkungan Sasende, Kel. Malunda</t>
  </si>
  <si>
    <t>MAJENE, 01 Juni 1989 (36)</t>
  </si>
  <si>
    <t>+62 822-9676-6206</t>
  </si>
  <si>
    <t>760123020015</t>
  </si>
  <si>
    <t>iqbaalazzahra@gmail.com</t>
  </si>
  <si>
    <t>foto ga bg merah, lolos p3k?</t>
  </si>
  <si>
    <t>Hasrul</t>
  </si>
  <si>
    <t xml:space="preserve">Dusun Tammalassu </t>
  </si>
  <si>
    <t>013</t>
  </si>
  <si>
    <t>MAJENE, 03 November 2002 (23)</t>
  </si>
  <si>
    <t>Kader PKK / Karang Taruna / Kader Lainnya</t>
  </si>
  <si>
    <t>+62 821-4892-9040</t>
  </si>
  <si>
    <t>muhammadalhasrul@gmail.com</t>
  </si>
  <si>
    <t>gaada foto</t>
  </si>
  <si>
    <t>Nur indah</t>
  </si>
  <si>
    <t>Jalan Durian, Desa Kayuangin dusun pettabeang Barat</t>
  </si>
  <si>
    <t>MAJENE, 16 September 2002 (23)</t>
  </si>
  <si>
    <t>+62 877-6217-0704</t>
  </si>
  <si>
    <t>incesindah016@gmail.com</t>
  </si>
  <si>
    <t>gaada foto, gaada hp android</t>
  </si>
  <si>
    <t>Nur apni</t>
  </si>
  <si>
    <t xml:space="preserve">Jalan durian </t>
  </si>
  <si>
    <t>MAJENE, 18 Oktober 2003 (22)</t>
  </si>
  <si>
    <t>+62 858-2558-3058</t>
  </si>
  <si>
    <t>nurafni181003@gmail.com</t>
  </si>
  <si>
    <t>gaada foto, gaada pengalaman, gabisa mengoprasikan komputer</t>
  </si>
  <si>
    <t>Sunardi</t>
  </si>
  <si>
    <t>Beroangin</t>
  </si>
  <si>
    <t>011</t>
  </si>
  <si>
    <t>MAJENE, 15 Januari 1992 (33)</t>
  </si>
  <si>
    <t>+62 813-4382-3648</t>
  </si>
  <si>
    <t>nardimalunda@gmail.com</t>
  </si>
  <si>
    <t>gaada foto, foto ktp terpotong dan ga keliatan foto kepalanya</t>
  </si>
  <si>
    <t>Hijrana</t>
  </si>
  <si>
    <t xml:space="preserve">Dusun Deking Jalan poros majene mamuju </t>
  </si>
  <si>
    <t>007</t>
  </si>
  <si>
    <t>MAJENE, 27 Februari 1996 (29)</t>
  </si>
  <si>
    <t>Belum Bekerja</t>
  </si>
  <si>
    <t>+62 821-5620-7319</t>
  </si>
  <si>
    <t>Hijranaije987@gmail.com</t>
  </si>
  <si>
    <t>gaada foto, gaada pengalaman</t>
  </si>
  <si>
    <t>Nurmadinah</t>
  </si>
  <si>
    <t>Lingk. Kalorang</t>
  </si>
  <si>
    <t>MAJENE, 19 Agustus 1998 (27)</t>
  </si>
  <si>
    <t>+62 822-8325-0112</t>
  </si>
  <si>
    <t>zleodhyna19@gmail.com</t>
  </si>
  <si>
    <t xml:space="preserve">SAFRIANI </t>
  </si>
  <si>
    <t>Jalan Poros Majene-Mamuju</t>
  </si>
  <si>
    <t>MAJENE, 16 Februari 1995 (30)</t>
  </si>
  <si>
    <t>+62 853-3375-6737</t>
  </si>
  <si>
    <t>safriani5991@gmail.com</t>
  </si>
  <si>
    <t>cek lagi</t>
  </si>
  <si>
    <t xml:space="preserve">AGUSTINO </t>
  </si>
  <si>
    <t>Lingkungan Sasende</t>
  </si>
  <si>
    <t>MAJENE, 16 Agustus 1991 (34)</t>
  </si>
  <si>
    <t>+62 815-2598-6343</t>
  </si>
  <si>
    <t>760123080001</t>
  </si>
  <si>
    <t>agustyno37@gmail.com</t>
  </si>
  <si>
    <t>Data administrasi sesuai, berpengalaman, bisa berkendara, perangkat memadai.</t>
  </si>
  <si>
    <t>Muhammad Arfan r</t>
  </si>
  <si>
    <t>Dusun Deking</t>
  </si>
  <si>
    <t>MAJENE, 09 Agustus 1989 (36)</t>
  </si>
  <si>
    <t>Driver</t>
  </si>
  <si>
    <t>+62 852-1216-1868_</t>
  </si>
  <si>
    <t>760123080016</t>
  </si>
  <si>
    <t>muhammadarfanr49@gmail.com</t>
  </si>
  <si>
    <t>Ijazah tidak dilampirkan, KTP buram</t>
  </si>
  <si>
    <t>Arni Alfinah</t>
  </si>
  <si>
    <t xml:space="preserve">Lingkungan Kayu Colo Kel. Lamungan Batu Kec. Malunda </t>
  </si>
  <si>
    <t>MAJENE, 27 Maret 1995 (30)</t>
  </si>
  <si>
    <t>URT</t>
  </si>
  <si>
    <t>+62 822-9159-2232</t>
  </si>
  <si>
    <t>760123110056</t>
  </si>
  <si>
    <t>arnialfinah@gmail.com</t>
  </si>
  <si>
    <t xml:space="preserve"> </t>
  </si>
  <si>
    <t>MUHAMMAD IRFAN</t>
  </si>
  <si>
    <t>KALORANG SELATAN</t>
  </si>
  <si>
    <t>MAJENE, 07 April 1988 (37)</t>
  </si>
  <si>
    <t>+62 853-6938-3624</t>
  </si>
  <si>
    <t>sunarjamuhammadirfan16@gmail.com</t>
  </si>
  <si>
    <t>Data administrasi sesuai, bisa berkendara, perangkat memadai. Namun, tidak memuat foto profil (pas foto kosong).</t>
  </si>
  <si>
    <t xml:space="preserve">Lilis Herpiana </t>
  </si>
  <si>
    <t>LINGK SASENDE</t>
  </si>
  <si>
    <t>MAJENE, 22 Oktober 1991 (34)</t>
  </si>
  <si>
    <t>+62 823-7594-1204</t>
  </si>
  <si>
    <t>lilisherpiana543@gmail.com</t>
  </si>
  <si>
    <t>HAERUL SAM</t>
  </si>
  <si>
    <t>Jalan Empat Lima</t>
  </si>
  <si>
    <t>MAJENE, 09 November 1991 (34)</t>
  </si>
  <si>
    <t>+62 853-9884-4800</t>
  </si>
  <si>
    <t>760122090011</t>
  </si>
  <si>
    <t>haerulsam911@gmail.com</t>
  </si>
  <si>
    <t>Data administrasi sesuai, berpengalaman, bisa berkendara, perangkat memadai. Profesi sebagai kader PKK/Kader lainnya</t>
  </si>
  <si>
    <t>MASTURA</t>
  </si>
  <si>
    <t>LINGK. SASENDE KEL. MALUNDA KEC. MALUNDA</t>
  </si>
  <si>
    <t>MAJENE, 20 September 1988 (37)</t>
  </si>
  <si>
    <t>+62 085-2594-36439</t>
  </si>
  <si>
    <t>760123030015</t>
  </si>
  <si>
    <t>masturamastura699@gmail.com</t>
  </si>
  <si>
    <t>Data administrasi sesuai, berpengalaman, bisa berkendara, perangkat memadai. Namun, unggahan KTP terpotong atau tidak mencakup seluruh bagian KTP</t>
  </si>
  <si>
    <t xml:space="preserve">Nurmawati </t>
  </si>
  <si>
    <t>Tammaende RT 002 RW 007</t>
  </si>
  <si>
    <t>MAJENE, 11 Januari 1996 (29)</t>
  </si>
  <si>
    <t>+62 085-3971-50064</t>
  </si>
  <si>
    <t>760123030038</t>
  </si>
  <si>
    <t>watin8480@gmail.com</t>
  </si>
  <si>
    <t>Data administrasi sesuai, berpengalaman, bisa berkendara, perangkat memadai</t>
  </si>
  <si>
    <t>NURMAYANTI</t>
  </si>
  <si>
    <t>Dusun Mekkatta</t>
  </si>
  <si>
    <t>MAJENE, 07 Juni 1987 (38)</t>
  </si>
  <si>
    <t>+62 812-8055-0414</t>
  </si>
  <si>
    <t>760122090005</t>
  </si>
  <si>
    <t>antimekatta@gmail.com</t>
  </si>
  <si>
    <t>KTP buram, ijazah tidak dilampirkan</t>
  </si>
  <si>
    <t xml:space="preserve">Rahmawati </t>
  </si>
  <si>
    <t>Jl. Kh. Muhammad husain lingkungan malunda Kelurahan malunda Kecamatan malunda</t>
  </si>
  <si>
    <t>MAJENE, 29 Juni 1989 (36)</t>
  </si>
  <si>
    <t>+62 853-4075-6219</t>
  </si>
  <si>
    <t>760122090008</t>
  </si>
  <si>
    <t>payyurazi@gmail.com</t>
  </si>
  <si>
    <t>Data administrasi sesuai, berpengalaman, bisa berkendara, perangkat memadai. Memiliki Hub. Kerja (Tenaga Honorer) di Kantor Kel. Malunda.</t>
  </si>
  <si>
    <t>Rahmadi.S.Pd</t>
  </si>
  <si>
    <t>Tambulan bulan ,lamungan batu kec malunda</t>
  </si>
  <si>
    <t>MAJENE, 31 Desember 1982 (43)</t>
  </si>
  <si>
    <t>Petani</t>
  </si>
  <si>
    <t>+62 081-8981-4095</t>
  </si>
  <si>
    <t>760122020011</t>
  </si>
  <si>
    <t>madiadi858@yahoo.com</t>
  </si>
  <si>
    <t>MAWARDI MARWAN</t>
  </si>
  <si>
    <t>Kalorang selatan</t>
  </si>
  <si>
    <t>MAJENE, 17 Desember 1997 (28)</t>
  </si>
  <si>
    <t>+62 823-1723-0310</t>
  </si>
  <si>
    <t>760122020029</t>
  </si>
  <si>
    <t>mawardimarwan158@gmail.com</t>
  </si>
  <si>
    <t>Sri karnila</t>
  </si>
  <si>
    <t>Jalan poros majene-mamuju Desa mekkatta, kec. Malunda, kab. Majene, prov. Sulawesi barat</t>
  </si>
  <si>
    <t>POLEWALI MANDAR, 16 Februari 1999 (26)</t>
  </si>
  <si>
    <t>Tamat S2</t>
  </si>
  <si>
    <t>Belum kerja</t>
  </si>
  <si>
    <t>+62 082-2196-06942</t>
  </si>
  <si>
    <t>760123110214</t>
  </si>
  <si>
    <t>Srikarnila16@gmail.com</t>
  </si>
  <si>
    <t>Data administrasi sesuai, berpengalaman, bisa berkendara, perangkat memadai. Namun, ijazah yang dilampirkan (S1) tidak sesuai dengan pendidikan terakhir (Tamat S2)</t>
  </si>
  <si>
    <t>Farid Indra Kusuma</t>
  </si>
  <si>
    <t>Jl.Lemba Lingk. Kalorang</t>
  </si>
  <si>
    <t>POLEWALI MANDAR, 02 Mei 1989 (36)</t>
  </si>
  <si>
    <t>+62 082-2211-16995</t>
  </si>
  <si>
    <t>760123110217</t>
  </si>
  <si>
    <t>faridindra100@gmail.com</t>
  </si>
  <si>
    <t>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</si>
</sst>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4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9850-5266-5C4C-872A-6EC2573C38FE}">
  <dimension ref="A1:U38"/>
  <sheetViews>
    <sheetView tabSelected="1" topLeftCell="E1" workbookViewId="0">
      <selection activeCell="T1" sqref="T1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4" t="s">
        <v>297</v>
      </c>
    </row>
    <row r="2" spans="1:21" ht="90" x14ac:dyDescent="0.2">
      <c r="A2" s="5" t="s">
        <v>19</v>
      </c>
      <c r="B2" s="5"/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/>
      <c r="O2" s="5" t="s">
        <v>31</v>
      </c>
      <c r="P2" s="5" t="s">
        <v>32</v>
      </c>
      <c r="Q2" s="5" t="s">
        <v>33</v>
      </c>
      <c r="R2" s="6" t="s">
        <v>34</v>
      </c>
      <c r="S2" s="7" t="s">
        <v>35</v>
      </c>
      <c r="T2" s="8" t="str">
        <f ca="1">IFERROR(__xludf.DUMMYFUNCTION("REGEXREPLACE(REGEXREPLACE(O2, ""[^0-9]"", """"), ""^620"", ""62"")"),"6281242311897")</f>
        <v>6281242311897</v>
      </c>
    </row>
    <row r="3" spans="1:21" ht="60" x14ac:dyDescent="0.2">
      <c r="A3" s="5" t="s">
        <v>36</v>
      </c>
      <c r="B3" s="5"/>
      <c r="C3" s="5" t="s">
        <v>20</v>
      </c>
      <c r="D3" s="5" t="s">
        <v>21</v>
      </c>
      <c r="E3" s="5" t="s">
        <v>37</v>
      </c>
      <c r="F3" s="5" t="s">
        <v>23</v>
      </c>
      <c r="G3" s="5" t="s">
        <v>24</v>
      </c>
      <c r="H3" s="5" t="s">
        <v>25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/>
      <c r="O3" s="5" t="s">
        <v>43</v>
      </c>
      <c r="P3" s="5" t="s">
        <v>44</v>
      </c>
      <c r="Q3" s="5" t="s">
        <v>45</v>
      </c>
      <c r="R3" s="6" t="s">
        <v>46</v>
      </c>
      <c r="S3" s="7" t="s">
        <v>47</v>
      </c>
      <c r="T3" s="8" t="str">
        <f ca="1">IFERROR(__xludf.DUMMYFUNCTION("REGEXREPLACE(REGEXREPLACE(O3, ""[^0-9]"", """"), ""^620"", ""62"")"),"6285145952002")</f>
        <v>6285145952002</v>
      </c>
    </row>
    <row r="4" spans="1:21" ht="90" x14ac:dyDescent="0.2">
      <c r="A4" s="5" t="s">
        <v>48</v>
      </c>
      <c r="B4" s="5"/>
      <c r="C4" s="5" t="s">
        <v>20</v>
      </c>
      <c r="D4" s="5" t="s">
        <v>21</v>
      </c>
      <c r="E4" s="5" t="s">
        <v>49</v>
      </c>
      <c r="F4" s="5" t="s">
        <v>23</v>
      </c>
      <c r="G4" s="5" t="s">
        <v>24</v>
      </c>
      <c r="H4" s="5" t="s">
        <v>25</v>
      </c>
      <c r="I4" s="5" t="s">
        <v>50</v>
      </c>
      <c r="J4" s="5" t="s">
        <v>51</v>
      </c>
      <c r="K4" s="5" t="s">
        <v>40</v>
      </c>
      <c r="L4" s="5" t="s">
        <v>29</v>
      </c>
      <c r="M4" s="5" t="s">
        <v>52</v>
      </c>
      <c r="N4" s="5" t="s">
        <v>53</v>
      </c>
      <c r="O4" s="5" t="s">
        <v>54</v>
      </c>
      <c r="P4" s="5" t="s">
        <v>55</v>
      </c>
      <c r="Q4" s="5" t="s">
        <v>56</v>
      </c>
      <c r="R4" s="6" t="s">
        <v>34</v>
      </c>
      <c r="S4" s="7" t="s">
        <v>57</v>
      </c>
      <c r="T4" s="8" t="str">
        <f ca="1">IFERROR(__xludf.DUMMYFUNCTION("REGEXREPLACE(REGEXREPLACE(O4, ""[^0-9]"", """"), ""^620"", ""62"")"),"6285231491131")</f>
        <v>6285231491131</v>
      </c>
    </row>
    <row r="5" spans="1:21" ht="105" x14ac:dyDescent="0.2">
      <c r="A5" s="5" t="s">
        <v>58</v>
      </c>
      <c r="B5" s="5"/>
      <c r="C5" s="5" t="s">
        <v>20</v>
      </c>
      <c r="D5" s="5" t="s">
        <v>21</v>
      </c>
      <c r="E5" s="5" t="s">
        <v>59</v>
      </c>
      <c r="F5" s="5" t="s">
        <v>23</v>
      </c>
      <c r="G5" s="5" t="s">
        <v>24</v>
      </c>
      <c r="H5" s="5" t="s">
        <v>25</v>
      </c>
      <c r="I5" s="5" t="s">
        <v>60</v>
      </c>
      <c r="J5" s="5" t="s">
        <v>61</v>
      </c>
      <c r="K5" s="5" t="s">
        <v>40</v>
      </c>
      <c r="L5" s="5" t="s">
        <v>41</v>
      </c>
      <c r="M5" s="5" t="s">
        <v>62</v>
      </c>
      <c r="N5" s="5"/>
      <c r="O5" s="5" t="s">
        <v>63</v>
      </c>
      <c r="P5" s="5" t="s">
        <v>64</v>
      </c>
      <c r="Q5" s="5" t="s">
        <v>65</v>
      </c>
      <c r="R5" s="6" t="s">
        <v>34</v>
      </c>
      <c r="S5" s="7" t="s">
        <v>66</v>
      </c>
      <c r="T5" s="8" t="str">
        <f ca="1">IFERROR(__xludf.DUMMYFUNCTION("REGEXREPLACE(REGEXREPLACE(O5, ""[^0-9]"", """"), ""^620"", ""62"")"),"6282244258366")</f>
        <v>6282244258366</v>
      </c>
      <c r="U5" s="8" t="s">
        <v>67</v>
      </c>
    </row>
    <row r="6" spans="1:21" ht="30" x14ac:dyDescent="0.2">
      <c r="A6" s="5" t="s">
        <v>68</v>
      </c>
      <c r="B6" s="5"/>
      <c r="C6" s="5" t="s">
        <v>20</v>
      </c>
      <c r="D6" s="5" t="s">
        <v>21</v>
      </c>
      <c r="E6" s="5" t="s">
        <v>69</v>
      </c>
      <c r="F6" s="5" t="s">
        <v>23</v>
      </c>
      <c r="G6" s="5" t="s">
        <v>24</v>
      </c>
      <c r="H6" s="5" t="s">
        <v>25</v>
      </c>
      <c r="I6" s="5" t="s">
        <v>50</v>
      </c>
      <c r="J6" s="5" t="s">
        <v>70</v>
      </c>
      <c r="K6" s="5" t="s">
        <v>40</v>
      </c>
      <c r="L6" s="5" t="s">
        <v>29</v>
      </c>
      <c r="M6" s="5" t="s">
        <v>62</v>
      </c>
      <c r="N6" s="5"/>
      <c r="O6" s="5" t="s">
        <v>71</v>
      </c>
      <c r="P6" s="5"/>
      <c r="Q6" s="5" t="s">
        <v>72</v>
      </c>
      <c r="R6" s="6" t="s">
        <v>34</v>
      </c>
      <c r="S6" s="7" t="s">
        <v>73</v>
      </c>
      <c r="T6" s="8" t="str">
        <f ca="1">IFERROR(__xludf.DUMMYFUNCTION("REGEXREPLACE(REGEXREPLACE(O6, ""[^0-9]"", """"), ""^620"", ""62"")"),"6282183328415")</f>
        <v>6282183328415</v>
      </c>
    </row>
    <row r="7" spans="1:21" ht="60" x14ac:dyDescent="0.2">
      <c r="A7" s="5" t="s">
        <v>74</v>
      </c>
      <c r="B7" s="5"/>
      <c r="C7" s="5" t="s">
        <v>20</v>
      </c>
      <c r="D7" s="5" t="s">
        <v>21</v>
      </c>
      <c r="E7" s="5" t="s">
        <v>75</v>
      </c>
      <c r="F7" s="5" t="s">
        <v>23</v>
      </c>
      <c r="G7" s="5" t="s">
        <v>24</v>
      </c>
      <c r="H7" s="5" t="s">
        <v>25</v>
      </c>
      <c r="I7" s="5" t="s">
        <v>26</v>
      </c>
      <c r="J7" s="5" t="s">
        <v>76</v>
      </c>
      <c r="K7" s="5" t="s">
        <v>28</v>
      </c>
      <c r="L7" s="5" t="s">
        <v>29</v>
      </c>
      <c r="M7" s="5" t="s">
        <v>77</v>
      </c>
      <c r="N7" s="5"/>
      <c r="O7" s="5" t="s">
        <v>78</v>
      </c>
      <c r="P7" s="5"/>
      <c r="Q7" s="5" t="s">
        <v>79</v>
      </c>
      <c r="R7" s="6" t="s">
        <v>46</v>
      </c>
      <c r="S7" s="7" t="s">
        <v>80</v>
      </c>
      <c r="T7" s="8" t="str">
        <f ca="1">IFERROR(__xludf.DUMMYFUNCTION("REGEXREPLACE(REGEXREPLACE(O7, ""[^0-9]"", """"), ""^620"", ""62"")"),"6285259856539")</f>
        <v>6285259856539</v>
      </c>
    </row>
    <row r="8" spans="1:21" ht="105" x14ac:dyDescent="0.2">
      <c r="A8" s="5" t="s">
        <v>81</v>
      </c>
      <c r="B8" s="5"/>
      <c r="C8" s="5" t="s">
        <v>20</v>
      </c>
      <c r="D8" s="5" t="s">
        <v>21</v>
      </c>
      <c r="E8" s="5" t="s">
        <v>82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83</v>
      </c>
      <c r="K8" s="5" t="s">
        <v>40</v>
      </c>
      <c r="L8" s="5" t="s">
        <v>41</v>
      </c>
      <c r="M8" s="5" t="s">
        <v>52</v>
      </c>
      <c r="N8" s="5" t="s">
        <v>84</v>
      </c>
      <c r="O8" s="5" t="s">
        <v>85</v>
      </c>
      <c r="P8" s="5"/>
      <c r="Q8" s="5" t="s">
        <v>86</v>
      </c>
      <c r="R8" s="6" t="s">
        <v>46</v>
      </c>
      <c r="S8" s="7" t="s">
        <v>87</v>
      </c>
      <c r="T8" s="8" t="str">
        <f ca="1">IFERROR(__xludf.DUMMYFUNCTION("REGEXREPLACE(REGEXREPLACE(O8, ""[^0-9]"", """"), ""^620"", ""62"")"),"6285695043615")</f>
        <v>6285695043615</v>
      </c>
    </row>
    <row r="9" spans="1:21" ht="75" x14ac:dyDescent="0.2">
      <c r="A9" s="5" t="s">
        <v>88</v>
      </c>
      <c r="B9" s="5"/>
      <c r="C9" s="5" t="s">
        <v>20</v>
      </c>
      <c r="D9" s="5" t="s">
        <v>21</v>
      </c>
      <c r="E9" s="5" t="s">
        <v>89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90</v>
      </c>
      <c r="K9" s="5" t="s">
        <v>40</v>
      </c>
      <c r="L9" s="5" t="s">
        <v>41</v>
      </c>
      <c r="M9" s="5" t="s">
        <v>42</v>
      </c>
      <c r="N9" s="5"/>
      <c r="O9" s="5" t="s">
        <v>91</v>
      </c>
      <c r="P9" s="5"/>
      <c r="Q9" s="5" t="s">
        <v>92</v>
      </c>
      <c r="R9" s="6" t="s">
        <v>46</v>
      </c>
      <c r="S9" s="7" t="s">
        <v>93</v>
      </c>
      <c r="T9" s="8" t="str">
        <f ca="1">IFERROR(__xludf.DUMMYFUNCTION("REGEXREPLACE(REGEXREPLACE(O9, ""[^0-9]"", """"), ""^620"", ""62"")"),"6281220412121")</f>
        <v>6281220412121</v>
      </c>
    </row>
    <row r="10" spans="1:21" ht="45" x14ac:dyDescent="0.2">
      <c r="A10" s="5" t="s">
        <v>94</v>
      </c>
      <c r="B10" s="5"/>
      <c r="C10" s="5" t="s">
        <v>20</v>
      </c>
      <c r="D10" s="5" t="s">
        <v>21</v>
      </c>
      <c r="E10" s="5" t="s">
        <v>95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96</v>
      </c>
      <c r="K10" s="5" t="s">
        <v>28</v>
      </c>
      <c r="L10" s="5" t="s">
        <v>97</v>
      </c>
      <c r="M10" s="5" t="s">
        <v>62</v>
      </c>
      <c r="N10" s="5"/>
      <c r="O10" s="5" t="s">
        <v>98</v>
      </c>
      <c r="P10" s="5" t="s">
        <v>99</v>
      </c>
      <c r="Q10" s="5" t="s">
        <v>100</v>
      </c>
      <c r="R10" s="6" t="s">
        <v>46</v>
      </c>
      <c r="S10" s="7" t="s">
        <v>101</v>
      </c>
      <c r="T10" s="9" t="s">
        <v>102</v>
      </c>
    </row>
    <row r="11" spans="1:21" ht="120" x14ac:dyDescent="0.2">
      <c r="A11" s="5" t="s">
        <v>103</v>
      </c>
      <c r="B11" s="5"/>
      <c r="C11" s="5" t="s">
        <v>20</v>
      </c>
      <c r="D11" s="5" t="s">
        <v>21</v>
      </c>
      <c r="E11" s="5" t="s">
        <v>104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105</v>
      </c>
      <c r="K11" s="5" t="s">
        <v>40</v>
      </c>
      <c r="L11" s="5" t="s">
        <v>29</v>
      </c>
      <c r="M11" s="5" t="s">
        <v>106</v>
      </c>
      <c r="N11" s="5"/>
      <c r="O11" s="5" t="s">
        <v>107</v>
      </c>
      <c r="P11" s="5"/>
      <c r="Q11" s="5" t="s">
        <v>108</v>
      </c>
      <c r="R11" s="6" t="s">
        <v>46</v>
      </c>
      <c r="S11" s="7" t="s">
        <v>109</v>
      </c>
      <c r="T11" s="8" t="str">
        <f ca="1">IFERROR(__xludf.DUMMYFUNCTION("REGEXREPLACE(REGEXREPLACE(O11, ""[^0-9]"", """"), ""^620"", ""62"")"),"6282235077981")</f>
        <v>6282235077981</v>
      </c>
    </row>
    <row r="12" spans="1:21" ht="105" x14ac:dyDescent="0.2">
      <c r="A12" s="5" t="s">
        <v>110</v>
      </c>
      <c r="B12" s="5"/>
      <c r="C12" s="5" t="s">
        <v>20</v>
      </c>
      <c r="D12" s="5" t="s">
        <v>111</v>
      </c>
      <c r="E12" s="5" t="s">
        <v>112</v>
      </c>
      <c r="F12" s="5" t="s">
        <v>23</v>
      </c>
      <c r="G12" s="5" t="s">
        <v>24</v>
      </c>
      <c r="H12" s="5" t="s">
        <v>25</v>
      </c>
      <c r="I12" s="5" t="s">
        <v>113</v>
      </c>
      <c r="J12" s="5" t="s">
        <v>114</v>
      </c>
      <c r="K12" s="5" t="s">
        <v>28</v>
      </c>
      <c r="L12" s="5" t="s">
        <v>41</v>
      </c>
      <c r="M12" s="5" t="s">
        <v>52</v>
      </c>
      <c r="N12" s="5" t="s">
        <v>115</v>
      </c>
      <c r="O12" s="5" t="s">
        <v>116</v>
      </c>
      <c r="P12" s="5"/>
      <c r="Q12" s="5" t="s">
        <v>117</v>
      </c>
      <c r="R12" s="6" t="s">
        <v>46</v>
      </c>
      <c r="S12" s="7" t="s">
        <v>118</v>
      </c>
      <c r="T12" s="8" t="str">
        <f ca="1">IFERROR(__xludf.DUMMYFUNCTION("REGEXREPLACE(REGEXREPLACE(O12, ""[^0-9]"", """"), ""^620"", ""62"")"),"6282291096334")</f>
        <v>6282291096334</v>
      </c>
    </row>
    <row r="13" spans="1:21" ht="60" x14ac:dyDescent="0.2">
      <c r="A13" s="5" t="s">
        <v>119</v>
      </c>
      <c r="B13" s="5"/>
      <c r="C13" s="5" t="s">
        <v>20</v>
      </c>
      <c r="D13" s="5" t="s">
        <v>21</v>
      </c>
      <c r="E13" s="5" t="s">
        <v>120</v>
      </c>
      <c r="F13" s="5" t="s">
        <v>23</v>
      </c>
      <c r="G13" s="5" t="s">
        <v>24</v>
      </c>
      <c r="H13" s="5" t="s">
        <v>25</v>
      </c>
      <c r="I13" s="5" t="s">
        <v>50</v>
      </c>
      <c r="J13" s="5" t="s">
        <v>121</v>
      </c>
      <c r="K13" s="5" t="s">
        <v>28</v>
      </c>
      <c r="L13" s="5" t="s">
        <v>29</v>
      </c>
      <c r="M13" s="5" t="s">
        <v>106</v>
      </c>
      <c r="N13" s="5"/>
      <c r="O13" s="5" t="s">
        <v>122</v>
      </c>
      <c r="P13" s="5"/>
      <c r="Q13" s="5" t="s">
        <v>123</v>
      </c>
      <c r="R13" s="6" t="s">
        <v>46</v>
      </c>
      <c r="S13" s="7" t="s">
        <v>124</v>
      </c>
      <c r="T13" s="8" t="str">
        <f ca="1">IFERROR(__xludf.DUMMYFUNCTION("REGEXREPLACE(REGEXREPLACE(O13, ""[^0-9]"", """"), ""^620"", ""62"")"),"6282317267668")</f>
        <v>6282317267668</v>
      </c>
    </row>
    <row r="14" spans="1:21" ht="75" x14ac:dyDescent="0.2">
      <c r="A14" s="5" t="s">
        <v>125</v>
      </c>
      <c r="B14" s="5"/>
      <c r="C14" s="5" t="s">
        <v>20</v>
      </c>
      <c r="D14" s="5" t="s">
        <v>21</v>
      </c>
      <c r="E14" s="5" t="s">
        <v>126</v>
      </c>
      <c r="F14" s="5" t="s">
        <v>23</v>
      </c>
      <c r="G14" s="5" t="s">
        <v>24</v>
      </c>
      <c r="H14" s="5" t="s">
        <v>25</v>
      </c>
      <c r="I14" s="5" t="s">
        <v>50</v>
      </c>
      <c r="J14" s="5" t="s">
        <v>127</v>
      </c>
      <c r="K14" s="5" t="s">
        <v>28</v>
      </c>
      <c r="L14" s="5" t="s">
        <v>29</v>
      </c>
      <c r="M14" s="5" t="s">
        <v>30</v>
      </c>
      <c r="N14" s="5"/>
      <c r="O14" s="5" t="s">
        <v>128</v>
      </c>
      <c r="P14" s="5"/>
      <c r="Q14" s="5" t="s">
        <v>129</v>
      </c>
      <c r="R14" s="6" t="s">
        <v>46</v>
      </c>
      <c r="S14" s="7" t="s">
        <v>130</v>
      </c>
      <c r="T14" s="8" t="str">
        <f ca="1">IFERROR(__xludf.DUMMYFUNCTION("REGEXREPLACE(REGEXREPLACE(O14, ""[^0-9]"", """"), ""^620"", ""62"")"),"6282121314133")</f>
        <v>6282121314133</v>
      </c>
    </row>
    <row r="15" spans="1:21" ht="30" x14ac:dyDescent="0.2">
      <c r="A15" s="5" t="s">
        <v>131</v>
      </c>
      <c r="B15" s="5"/>
      <c r="C15" s="5" t="s">
        <v>20</v>
      </c>
      <c r="D15" s="5" t="s">
        <v>111</v>
      </c>
      <c r="E15" s="5" t="s">
        <v>132</v>
      </c>
      <c r="F15" s="5" t="s">
        <v>23</v>
      </c>
      <c r="G15" s="5" t="s">
        <v>24</v>
      </c>
      <c r="H15" s="5" t="s">
        <v>25</v>
      </c>
      <c r="I15" s="5" t="s">
        <v>50</v>
      </c>
      <c r="J15" s="5" t="s">
        <v>133</v>
      </c>
      <c r="K15" s="5" t="s">
        <v>28</v>
      </c>
      <c r="L15" s="5" t="s">
        <v>97</v>
      </c>
      <c r="M15" s="5" t="s">
        <v>52</v>
      </c>
      <c r="N15" s="5" t="s">
        <v>134</v>
      </c>
      <c r="O15" s="5" t="s">
        <v>135</v>
      </c>
      <c r="P15" s="5" t="s">
        <v>136</v>
      </c>
      <c r="Q15" s="5" t="s">
        <v>137</v>
      </c>
      <c r="R15" s="6" t="s">
        <v>46</v>
      </c>
      <c r="S15" s="7" t="s">
        <v>138</v>
      </c>
      <c r="T15" s="8" t="str">
        <f ca="1">IFERROR(__xludf.DUMMYFUNCTION("REGEXREPLACE(REGEXREPLACE(O15, ""[^0-9]"", """"), ""^620"", ""62"")"),"6281354697088")</f>
        <v>6281354697088</v>
      </c>
    </row>
    <row r="16" spans="1:21" ht="30" x14ac:dyDescent="0.2">
      <c r="A16" s="5" t="s">
        <v>139</v>
      </c>
      <c r="B16" s="5"/>
      <c r="C16" s="5" t="s">
        <v>20</v>
      </c>
      <c r="D16" s="5" t="s">
        <v>111</v>
      </c>
      <c r="E16" s="5" t="s">
        <v>140</v>
      </c>
      <c r="F16" s="5" t="s">
        <v>23</v>
      </c>
      <c r="G16" s="5" t="s">
        <v>24</v>
      </c>
      <c r="H16" s="5" t="s">
        <v>25</v>
      </c>
      <c r="I16" s="5" t="s">
        <v>50</v>
      </c>
      <c r="J16" s="5" t="s">
        <v>141</v>
      </c>
      <c r="K16" s="5" t="s">
        <v>40</v>
      </c>
      <c r="L16" s="5" t="s">
        <v>41</v>
      </c>
      <c r="M16" s="5" t="s">
        <v>52</v>
      </c>
      <c r="N16" s="5" t="s">
        <v>142</v>
      </c>
      <c r="O16" s="5" t="s">
        <v>143</v>
      </c>
      <c r="P16" s="5" t="s">
        <v>144</v>
      </c>
      <c r="Q16" s="5" t="s">
        <v>145</v>
      </c>
      <c r="R16" s="6" t="s">
        <v>34</v>
      </c>
      <c r="S16" s="7" t="s">
        <v>146</v>
      </c>
      <c r="T16" s="8" t="str">
        <f ca="1">IFERROR(__xludf.DUMMYFUNCTION("REGEXREPLACE(REGEXREPLACE(O16, ""[^0-9]"", """"), ""^620"", ""62"")"),"628291958214")</f>
        <v>628291958214</v>
      </c>
    </row>
    <row r="17" spans="1:21" ht="45" x14ac:dyDescent="0.2">
      <c r="A17" s="5" t="s">
        <v>147</v>
      </c>
      <c r="B17" s="5"/>
      <c r="C17" s="5" t="s">
        <v>20</v>
      </c>
      <c r="D17" s="5" t="s">
        <v>111</v>
      </c>
      <c r="E17" s="5" t="s">
        <v>148</v>
      </c>
      <c r="F17" s="5" t="s">
        <v>23</v>
      </c>
      <c r="G17" s="5" t="s">
        <v>24</v>
      </c>
      <c r="H17" s="5" t="s">
        <v>25</v>
      </c>
      <c r="I17" s="5" t="s">
        <v>50</v>
      </c>
      <c r="J17" s="5" t="s">
        <v>149</v>
      </c>
      <c r="K17" s="5" t="s">
        <v>40</v>
      </c>
      <c r="L17" s="5" t="s">
        <v>41</v>
      </c>
      <c r="M17" s="5" t="s">
        <v>62</v>
      </c>
      <c r="N17" s="5"/>
      <c r="O17" s="5" t="s">
        <v>150</v>
      </c>
      <c r="P17" s="5" t="s">
        <v>151</v>
      </c>
      <c r="Q17" s="5" t="s">
        <v>152</v>
      </c>
      <c r="R17" s="6" t="s">
        <v>46</v>
      </c>
      <c r="S17" s="7" t="s">
        <v>153</v>
      </c>
      <c r="T17" s="8" t="str">
        <f ca="1">IFERROR(__xludf.DUMMYFUNCTION("REGEXREPLACE(REGEXREPLACE(O17, ""[^0-9]"", """"), ""^620"", ""62"")"),"6282296766206")</f>
        <v>6282296766206</v>
      </c>
    </row>
    <row r="18" spans="1:21" x14ac:dyDescent="0.2">
      <c r="A18" s="5" t="s">
        <v>154</v>
      </c>
      <c r="B18" s="5"/>
      <c r="C18" s="5" t="s">
        <v>20</v>
      </c>
      <c r="D18" s="5" t="s">
        <v>21</v>
      </c>
      <c r="E18" s="5" t="s">
        <v>155</v>
      </c>
      <c r="F18" s="5" t="s">
        <v>23</v>
      </c>
      <c r="G18" s="5" t="s">
        <v>24</v>
      </c>
      <c r="H18" s="5" t="s">
        <v>25</v>
      </c>
      <c r="I18" s="5" t="s">
        <v>156</v>
      </c>
      <c r="J18" s="5" t="s">
        <v>157</v>
      </c>
      <c r="K18" s="5" t="s">
        <v>40</v>
      </c>
      <c r="L18" s="5" t="s">
        <v>29</v>
      </c>
      <c r="M18" s="5" t="s">
        <v>158</v>
      </c>
      <c r="N18" s="5"/>
      <c r="O18" s="5" t="s">
        <v>159</v>
      </c>
      <c r="P18" s="5"/>
      <c r="Q18" s="5" t="s">
        <v>160</v>
      </c>
      <c r="R18" s="6" t="s">
        <v>46</v>
      </c>
      <c r="S18" s="7" t="s">
        <v>161</v>
      </c>
      <c r="T18" s="8" t="str">
        <f ca="1">IFERROR(__xludf.DUMMYFUNCTION("REGEXREPLACE(REGEXREPLACE(O18, ""[^0-9]"", """"), ""^620"", ""62"")"),"6282148929040")</f>
        <v>6282148929040</v>
      </c>
    </row>
    <row r="19" spans="1:21" ht="45" x14ac:dyDescent="0.2">
      <c r="A19" s="5" t="s">
        <v>162</v>
      </c>
      <c r="B19" s="5"/>
      <c r="C19" s="5" t="s">
        <v>20</v>
      </c>
      <c r="D19" s="5" t="s">
        <v>21</v>
      </c>
      <c r="E19" s="5" t="s">
        <v>163</v>
      </c>
      <c r="F19" s="5" t="s">
        <v>23</v>
      </c>
      <c r="G19" s="5" t="s">
        <v>24</v>
      </c>
      <c r="H19" s="5" t="s">
        <v>25</v>
      </c>
      <c r="I19" s="5" t="s">
        <v>156</v>
      </c>
      <c r="J19" s="5" t="s">
        <v>164</v>
      </c>
      <c r="K19" s="5" t="s">
        <v>28</v>
      </c>
      <c r="L19" s="5" t="s">
        <v>41</v>
      </c>
      <c r="M19" s="5" t="s">
        <v>77</v>
      </c>
      <c r="N19" s="5"/>
      <c r="O19" s="5" t="s">
        <v>165</v>
      </c>
      <c r="P19" s="5"/>
      <c r="Q19" s="5" t="s">
        <v>166</v>
      </c>
      <c r="R19" s="6" t="s">
        <v>46</v>
      </c>
      <c r="S19" s="7" t="s">
        <v>167</v>
      </c>
      <c r="T19" s="8" t="str">
        <f ca="1">IFERROR(__xludf.DUMMYFUNCTION("REGEXREPLACE(REGEXREPLACE(O19, ""[^0-9]"", """"), ""^620"", ""62"")"),"6287762170704")</f>
        <v>6287762170704</v>
      </c>
    </row>
    <row r="20" spans="1:21" ht="90" x14ac:dyDescent="0.2">
      <c r="A20" s="5" t="s">
        <v>168</v>
      </c>
      <c r="B20" s="5"/>
      <c r="C20" s="5" t="s">
        <v>20</v>
      </c>
      <c r="D20" s="5" t="s">
        <v>21</v>
      </c>
      <c r="E20" s="5" t="s">
        <v>169</v>
      </c>
      <c r="F20" s="5" t="s">
        <v>23</v>
      </c>
      <c r="G20" s="5" t="s">
        <v>24</v>
      </c>
      <c r="H20" s="5" t="s">
        <v>25</v>
      </c>
      <c r="I20" s="5" t="s">
        <v>50</v>
      </c>
      <c r="J20" s="5" t="s">
        <v>170</v>
      </c>
      <c r="K20" s="5" t="s">
        <v>28</v>
      </c>
      <c r="L20" s="5" t="s">
        <v>29</v>
      </c>
      <c r="M20" s="5" t="s">
        <v>106</v>
      </c>
      <c r="N20" s="5"/>
      <c r="O20" s="5" t="s">
        <v>171</v>
      </c>
      <c r="P20" s="5"/>
      <c r="Q20" s="5" t="s">
        <v>172</v>
      </c>
      <c r="R20" s="6" t="s">
        <v>46</v>
      </c>
      <c r="S20" s="7" t="s">
        <v>173</v>
      </c>
      <c r="T20" s="8" t="str">
        <f ca="1">IFERROR(__xludf.DUMMYFUNCTION("REGEXREPLACE(REGEXREPLACE(O20, ""[^0-9]"", """"), ""^620"", ""62"")"),"6285825583058")</f>
        <v>6285825583058</v>
      </c>
    </row>
    <row r="21" spans="1:21" ht="75" x14ac:dyDescent="0.2">
      <c r="A21" s="5" t="s">
        <v>174</v>
      </c>
      <c r="B21" s="5"/>
      <c r="C21" s="5" t="s">
        <v>20</v>
      </c>
      <c r="D21" s="5" t="s">
        <v>21</v>
      </c>
      <c r="E21" s="5" t="s">
        <v>175</v>
      </c>
      <c r="F21" s="5" t="s">
        <v>23</v>
      </c>
      <c r="G21" s="5" t="s">
        <v>24</v>
      </c>
      <c r="H21" s="5" t="s">
        <v>25</v>
      </c>
      <c r="I21" s="5" t="s">
        <v>176</v>
      </c>
      <c r="J21" s="5" t="s">
        <v>177</v>
      </c>
      <c r="K21" s="5" t="s">
        <v>40</v>
      </c>
      <c r="L21" s="5" t="s">
        <v>29</v>
      </c>
      <c r="M21" s="5" t="s">
        <v>42</v>
      </c>
      <c r="N21" s="5"/>
      <c r="O21" s="5" t="s">
        <v>178</v>
      </c>
      <c r="P21" s="5"/>
      <c r="Q21" s="5" t="s">
        <v>179</v>
      </c>
      <c r="R21" s="6" t="s">
        <v>46</v>
      </c>
      <c r="S21" s="7" t="s">
        <v>180</v>
      </c>
      <c r="T21" s="8" t="str">
        <f ca="1">IFERROR(__xludf.DUMMYFUNCTION("REGEXREPLACE(REGEXREPLACE(O21, ""[^0-9]"", """"), ""^620"", ""62"")"),"6281343823648")</f>
        <v>6281343823648</v>
      </c>
    </row>
    <row r="22" spans="1:21" ht="45" x14ac:dyDescent="0.2">
      <c r="A22" s="5" t="s">
        <v>181</v>
      </c>
      <c r="B22" s="5"/>
      <c r="C22" s="5" t="s">
        <v>20</v>
      </c>
      <c r="D22" s="5" t="s">
        <v>21</v>
      </c>
      <c r="E22" s="5" t="s">
        <v>182</v>
      </c>
      <c r="F22" s="5" t="s">
        <v>23</v>
      </c>
      <c r="G22" s="5" t="s">
        <v>24</v>
      </c>
      <c r="H22" s="5" t="s">
        <v>25</v>
      </c>
      <c r="I22" s="5" t="s">
        <v>183</v>
      </c>
      <c r="J22" s="5" t="s">
        <v>184</v>
      </c>
      <c r="K22" s="5" t="s">
        <v>28</v>
      </c>
      <c r="L22" s="5" t="s">
        <v>41</v>
      </c>
      <c r="M22" s="5" t="s">
        <v>52</v>
      </c>
      <c r="N22" s="5" t="s">
        <v>185</v>
      </c>
      <c r="O22" s="5" t="s">
        <v>186</v>
      </c>
      <c r="P22" s="5"/>
      <c r="Q22" s="5" t="s">
        <v>187</v>
      </c>
      <c r="R22" s="6" t="s">
        <v>46</v>
      </c>
      <c r="S22" s="7" t="s">
        <v>188</v>
      </c>
      <c r="T22" s="8" t="str">
        <f ca="1">IFERROR(__xludf.DUMMYFUNCTION("REGEXREPLACE(REGEXREPLACE(O22, ""[^0-9]"", """"), ""^620"", ""62"")"),"6282156207319")</f>
        <v>6282156207319</v>
      </c>
    </row>
    <row r="23" spans="1:21" ht="90" x14ac:dyDescent="0.2">
      <c r="A23" s="5" t="s">
        <v>189</v>
      </c>
      <c r="B23" s="5"/>
      <c r="C23" s="5" t="s">
        <v>20</v>
      </c>
      <c r="D23" s="5" t="s">
        <v>21</v>
      </c>
      <c r="E23" s="5" t="s">
        <v>190</v>
      </c>
      <c r="F23" s="5" t="s">
        <v>23</v>
      </c>
      <c r="G23" s="5" t="s">
        <v>24</v>
      </c>
      <c r="H23" s="5" t="s">
        <v>25</v>
      </c>
      <c r="I23" s="5" t="s">
        <v>26</v>
      </c>
      <c r="J23" s="5" t="s">
        <v>191</v>
      </c>
      <c r="K23" s="5" t="s">
        <v>28</v>
      </c>
      <c r="L23" s="5" t="s">
        <v>29</v>
      </c>
      <c r="M23" s="5" t="s">
        <v>30</v>
      </c>
      <c r="N23" s="5"/>
      <c r="O23" s="5" t="s">
        <v>192</v>
      </c>
      <c r="P23" s="5"/>
      <c r="Q23" s="5" t="s">
        <v>193</v>
      </c>
      <c r="R23" s="6" t="s">
        <v>46</v>
      </c>
      <c r="S23" s="7" t="s">
        <v>173</v>
      </c>
      <c r="T23" s="8" t="str">
        <f ca="1">IFERROR(__xludf.DUMMYFUNCTION("REGEXREPLACE(REGEXREPLACE(O23, ""[^0-9]"", """"), ""^620"", ""62"")"),"6282283250112")</f>
        <v>6282283250112</v>
      </c>
    </row>
    <row r="24" spans="1:21" x14ac:dyDescent="0.2">
      <c r="A24" s="5" t="s">
        <v>194</v>
      </c>
      <c r="B24" s="5"/>
      <c r="C24" s="5" t="s">
        <v>20</v>
      </c>
      <c r="D24" s="5" t="s">
        <v>21</v>
      </c>
      <c r="E24" s="5" t="s">
        <v>195</v>
      </c>
      <c r="F24" s="5" t="s">
        <v>23</v>
      </c>
      <c r="G24" s="5" t="s">
        <v>24</v>
      </c>
      <c r="H24" s="5" t="s">
        <v>25</v>
      </c>
      <c r="I24" s="5" t="s">
        <v>26</v>
      </c>
      <c r="J24" s="5" t="s">
        <v>196</v>
      </c>
      <c r="K24" s="5" t="s">
        <v>28</v>
      </c>
      <c r="L24" s="5" t="s">
        <v>29</v>
      </c>
      <c r="M24" s="5" t="s">
        <v>30</v>
      </c>
      <c r="N24" s="5"/>
      <c r="O24" s="5" t="s">
        <v>197</v>
      </c>
      <c r="P24" s="5"/>
      <c r="Q24" s="5" t="s">
        <v>198</v>
      </c>
      <c r="R24" s="6" t="s">
        <v>46</v>
      </c>
      <c r="S24" s="7" t="s">
        <v>161</v>
      </c>
      <c r="T24" s="8" t="str">
        <f ca="1">IFERROR(__xludf.DUMMYFUNCTION("REGEXREPLACE(REGEXREPLACE(O24, ""[^0-9]"", """"), ""^620"", ""62"")"),"6285333756737")</f>
        <v>6285333756737</v>
      </c>
      <c r="U24" s="8" t="s">
        <v>199</v>
      </c>
    </row>
    <row r="25" spans="1:21" ht="120" x14ac:dyDescent="0.2">
      <c r="A25" s="5" t="s">
        <v>200</v>
      </c>
      <c r="B25" s="5"/>
      <c r="C25" s="5" t="s">
        <v>20</v>
      </c>
      <c r="D25" s="5" t="s">
        <v>21</v>
      </c>
      <c r="E25" s="5" t="s">
        <v>201</v>
      </c>
      <c r="F25" s="5" t="s">
        <v>23</v>
      </c>
      <c r="G25" s="5" t="s">
        <v>24</v>
      </c>
      <c r="H25" s="5" t="s">
        <v>25</v>
      </c>
      <c r="I25" s="5" t="s">
        <v>50</v>
      </c>
      <c r="J25" s="5" t="s">
        <v>202</v>
      </c>
      <c r="K25" s="5" t="s">
        <v>40</v>
      </c>
      <c r="L25" s="5" t="s">
        <v>29</v>
      </c>
      <c r="M25" s="5" t="s">
        <v>42</v>
      </c>
      <c r="N25" s="5"/>
      <c r="O25" s="5" t="s">
        <v>203</v>
      </c>
      <c r="P25" s="5" t="s">
        <v>204</v>
      </c>
      <c r="Q25" s="5" t="s">
        <v>205</v>
      </c>
      <c r="R25" s="6" t="s">
        <v>34</v>
      </c>
      <c r="S25" s="7" t="s">
        <v>206</v>
      </c>
      <c r="T25" s="8" t="str">
        <f ca="1">IFERROR(__xludf.DUMMYFUNCTION("REGEXREPLACE(REGEXREPLACE(O25, ""[^0-9]"", """"), ""^620"", ""62"")"),"6281525986343")</f>
        <v>6281525986343</v>
      </c>
    </row>
    <row r="26" spans="1:21" ht="45" x14ac:dyDescent="0.2">
      <c r="A26" s="5" t="s">
        <v>207</v>
      </c>
      <c r="B26" s="5"/>
      <c r="C26" s="5" t="s">
        <v>20</v>
      </c>
      <c r="D26" s="5" t="s">
        <v>21</v>
      </c>
      <c r="E26" s="5" t="s">
        <v>208</v>
      </c>
      <c r="F26" s="5" t="s">
        <v>23</v>
      </c>
      <c r="G26" s="5" t="s">
        <v>24</v>
      </c>
      <c r="H26" s="5" t="s">
        <v>25</v>
      </c>
      <c r="I26" s="5" t="s">
        <v>183</v>
      </c>
      <c r="J26" s="5" t="s">
        <v>209</v>
      </c>
      <c r="K26" s="5" t="s">
        <v>40</v>
      </c>
      <c r="L26" s="5" t="s">
        <v>29</v>
      </c>
      <c r="M26" s="5" t="s">
        <v>52</v>
      </c>
      <c r="N26" s="5" t="s">
        <v>210</v>
      </c>
      <c r="O26" s="5" t="s">
        <v>211</v>
      </c>
      <c r="P26" s="5" t="s">
        <v>212</v>
      </c>
      <c r="Q26" s="5" t="s">
        <v>213</v>
      </c>
      <c r="R26" s="6" t="s">
        <v>46</v>
      </c>
      <c r="S26" s="7" t="s">
        <v>214</v>
      </c>
      <c r="T26" s="8" t="str">
        <f ca="1">IFERROR(__xludf.DUMMYFUNCTION("REGEXREPLACE(REGEXREPLACE(O26, ""[^0-9]"", """"), ""^620"", ""62"")"),"6285212161868")</f>
        <v>6285212161868</v>
      </c>
      <c r="U26" s="8" t="s">
        <v>199</v>
      </c>
    </row>
    <row r="27" spans="1:21" ht="120" x14ac:dyDescent="0.2">
      <c r="A27" s="5" t="s">
        <v>215</v>
      </c>
      <c r="B27" s="5"/>
      <c r="C27" s="5" t="s">
        <v>20</v>
      </c>
      <c r="D27" s="5" t="s">
        <v>21</v>
      </c>
      <c r="E27" s="5" t="s">
        <v>216</v>
      </c>
      <c r="F27" s="5" t="s">
        <v>23</v>
      </c>
      <c r="G27" s="5" t="s">
        <v>24</v>
      </c>
      <c r="H27" s="5" t="s">
        <v>25</v>
      </c>
      <c r="I27" s="5" t="s">
        <v>26</v>
      </c>
      <c r="J27" s="5" t="s">
        <v>217</v>
      </c>
      <c r="K27" s="5" t="s">
        <v>28</v>
      </c>
      <c r="L27" s="5" t="s">
        <v>41</v>
      </c>
      <c r="M27" s="5" t="s">
        <v>52</v>
      </c>
      <c r="N27" s="5" t="s">
        <v>218</v>
      </c>
      <c r="O27" s="5" t="s">
        <v>219</v>
      </c>
      <c r="P27" s="5" t="s">
        <v>220</v>
      </c>
      <c r="Q27" s="5" t="s">
        <v>221</v>
      </c>
      <c r="R27" s="6" t="s">
        <v>34</v>
      </c>
      <c r="S27" s="7" t="s">
        <v>206</v>
      </c>
      <c r="T27" s="8" t="str">
        <f ca="1">IFERROR(__xludf.DUMMYFUNCTION("REGEXREPLACE(REGEXREPLACE(O27, ""[^0-9]"", """"), ""^620"", ""62"")"),"6282291592232")</f>
        <v>6282291592232</v>
      </c>
      <c r="U27" s="8" t="s">
        <v>222</v>
      </c>
    </row>
    <row r="28" spans="1:21" ht="150" x14ac:dyDescent="0.2">
      <c r="A28" s="5" t="s">
        <v>223</v>
      </c>
      <c r="B28" s="5"/>
      <c r="C28" s="5" t="s">
        <v>20</v>
      </c>
      <c r="D28" s="5" t="s">
        <v>21</v>
      </c>
      <c r="E28" s="5" t="s">
        <v>224</v>
      </c>
      <c r="F28" s="5" t="s">
        <v>23</v>
      </c>
      <c r="G28" s="5" t="s">
        <v>24</v>
      </c>
      <c r="H28" s="5" t="s">
        <v>25</v>
      </c>
      <c r="I28" s="5" t="s">
        <v>26</v>
      </c>
      <c r="J28" s="5" t="s">
        <v>225</v>
      </c>
      <c r="K28" s="5" t="s">
        <v>40</v>
      </c>
      <c r="L28" s="5" t="s">
        <v>41</v>
      </c>
      <c r="M28" s="5" t="s">
        <v>42</v>
      </c>
      <c r="N28" s="5"/>
      <c r="O28" s="5" t="s">
        <v>226</v>
      </c>
      <c r="P28" s="5"/>
      <c r="Q28" s="5" t="s">
        <v>227</v>
      </c>
      <c r="R28" s="6" t="s">
        <v>46</v>
      </c>
      <c r="S28" s="7" t="s">
        <v>228</v>
      </c>
      <c r="T28" s="8" t="str">
        <f ca="1">IFERROR(__xludf.DUMMYFUNCTION("REGEXREPLACE(REGEXREPLACE(O28, ""[^0-9]"", """"), ""^620"", ""62"")"),"6285369383624")</f>
        <v>6285369383624</v>
      </c>
    </row>
    <row r="29" spans="1:21" ht="150" x14ac:dyDescent="0.2">
      <c r="A29" s="5" t="s">
        <v>229</v>
      </c>
      <c r="B29" s="5"/>
      <c r="C29" s="5" t="s">
        <v>20</v>
      </c>
      <c r="D29" s="5" t="s">
        <v>21</v>
      </c>
      <c r="E29" s="5" t="s">
        <v>230</v>
      </c>
      <c r="F29" s="5" t="s">
        <v>23</v>
      </c>
      <c r="G29" s="5" t="s">
        <v>24</v>
      </c>
      <c r="H29" s="5" t="s">
        <v>25</v>
      </c>
      <c r="I29" s="5" t="s">
        <v>50</v>
      </c>
      <c r="J29" s="5" t="s">
        <v>231</v>
      </c>
      <c r="K29" s="5" t="s">
        <v>28</v>
      </c>
      <c r="L29" s="5" t="s">
        <v>41</v>
      </c>
      <c r="M29" s="5" t="s">
        <v>30</v>
      </c>
      <c r="N29" s="5"/>
      <c r="O29" s="5" t="s">
        <v>232</v>
      </c>
      <c r="P29" s="5"/>
      <c r="Q29" s="5" t="s">
        <v>233</v>
      </c>
      <c r="R29" s="6" t="s">
        <v>46</v>
      </c>
      <c r="S29" s="7" t="s">
        <v>228</v>
      </c>
      <c r="T29" s="8" t="str">
        <f ca="1">IFERROR(__xludf.DUMMYFUNCTION("REGEXREPLACE(REGEXREPLACE(O29, ""[^0-9]"", """"), ""^620"", ""62"")"),"6282375941204")</f>
        <v>6282375941204</v>
      </c>
    </row>
    <row r="30" spans="1:21" ht="180" x14ac:dyDescent="0.2">
      <c r="A30" s="5" t="s">
        <v>234</v>
      </c>
      <c r="B30" s="5"/>
      <c r="C30" s="5" t="s">
        <v>20</v>
      </c>
      <c r="D30" s="5" t="s">
        <v>21</v>
      </c>
      <c r="E30" s="5" t="s">
        <v>235</v>
      </c>
      <c r="F30" s="5" t="s">
        <v>23</v>
      </c>
      <c r="G30" s="5" t="s">
        <v>24</v>
      </c>
      <c r="H30" s="5" t="s">
        <v>25</v>
      </c>
      <c r="I30" s="5" t="s">
        <v>26</v>
      </c>
      <c r="J30" s="5" t="s">
        <v>236</v>
      </c>
      <c r="K30" s="5" t="s">
        <v>40</v>
      </c>
      <c r="L30" s="5" t="s">
        <v>29</v>
      </c>
      <c r="M30" s="5" t="s">
        <v>158</v>
      </c>
      <c r="N30" s="5"/>
      <c r="O30" s="5" t="s">
        <v>237</v>
      </c>
      <c r="P30" s="5" t="s">
        <v>238</v>
      </c>
      <c r="Q30" s="5" t="s">
        <v>239</v>
      </c>
      <c r="R30" s="6" t="s">
        <v>46</v>
      </c>
      <c r="S30" s="7" t="s">
        <v>240</v>
      </c>
      <c r="T30" s="8" t="str">
        <f ca="1">IFERROR(__xludf.DUMMYFUNCTION("REGEXREPLACE(REGEXREPLACE(O30, ""[^0-9]"", """"), ""^620"", ""62"")"),"6285398844800")</f>
        <v>6285398844800</v>
      </c>
    </row>
    <row r="31" spans="1:21" ht="225" x14ac:dyDescent="0.2">
      <c r="A31" s="5" t="s">
        <v>241</v>
      </c>
      <c r="B31" s="5"/>
      <c r="C31" s="5" t="s">
        <v>20</v>
      </c>
      <c r="D31" s="5" t="s">
        <v>21</v>
      </c>
      <c r="E31" s="5" t="s">
        <v>242</v>
      </c>
      <c r="F31" s="5" t="s">
        <v>23</v>
      </c>
      <c r="G31" s="5" t="s">
        <v>24</v>
      </c>
      <c r="H31" s="5" t="s">
        <v>25</v>
      </c>
      <c r="I31" s="5" t="s">
        <v>50</v>
      </c>
      <c r="J31" s="5" t="s">
        <v>243</v>
      </c>
      <c r="K31" s="5" t="s">
        <v>28</v>
      </c>
      <c r="L31" s="5" t="s">
        <v>41</v>
      </c>
      <c r="M31" s="5" t="s">
        <v>30</v>
      </c>
      <c r="N31" s="5"/>
      <c r="O31" s="5" t="s">
        <v>244</v>
      </c>
      <c r="P31" s="5" t="s">
        <v>245</v>
      </c>
      <c r="Q31" s="5" t="s">
        <v>246</v>
      </c>
      <c r="R31" s="6" t="s">
        <v>46</v>
      </c>
      <c r="S31" s="7" t="s">
        <v>247</v>
      </c>
      <c r="T31" s="8" t="str">
        <f ca="1">IFERROR(__xludf.DUMMYFUNCTION("REGEXREPLACE(REGEXREPLACE(O31, ""[^0-9]"", """"), ""^620"", ""62"")"),"6285259436439")</f>
        <v>6285259436439</v>
      </c>
    </row>
    <row r="32" spans="1:21" ht="120" x14ac:dyDescent="0.2">
      <c r="A32" s="5" t="s">
        <v>248</v>
      </c>
      <c r="B32" s="5"/>
      <c r="C32" s="5" t="s">
        <v>20</v>
      </c>
      <c r="D32" s="5" t="s">
        <v>21</v>
      </c>
      <c r="E32" s="5" t="s">
        <v>249</v>
      </c>
      <c r="F32" s="5" t="s">
        <v>23</v>
      </c>
      <c r="G32" s="5" t="s">
        <v>24</v>
      </c>
      <c r="H32" s="5" t="s">
        <v>25</v>
      </c>
      <c r="I32" s="5" t="s">
        <v>26</v>
      </c>
      <c r="J32" s="5" t="s">
        <v>250</v>
      </c>
      <c r="K32" s="5" t="s">
        <v>28</v>
      </c>
      <c r="L32" s="5" t="s">
        <v>41</v>
      </c>
      <c r="M32" s="5" t="s">
        <v>42</v>
      </c>
      <c r="N32" s="5"/>
      <c r="O32" s="5" t="s">
        <v>251</v>
      </c>
      <c r="P32" s="5" t="s">
        <v>252</v>
      </c>
      <c r="Q32" s="5" t="s">
        <v>253</v>
      </c>
      <c r="R32" s="6" t="s">
        <v>34</v>
      </c>
      <c r="S32" s="7" t="s">
        <v>254</v>
      </c>
      <c r="T32" s="8" t="str">
        <f ca="1">IFERROR(__xludf.DUMMYFUNCTION("REGEXREPLACE(REGEXREPLACE(O32, ""[^0-9]"", """"), ""^620"", ""62"")"),"6285397150064")</f>
        <v>6285397150064</v>
      </c>
    </row>
    <row r="33" spans="1:20" ht="45" x14ac:dyDescent="0.2">
      <c r="A33" s="5" t="s">
        <v>255</v>
      </c>
      <c r="B33" s="5"/>
      <c r="C33" s="5" t="s">
        <v>20</v>
      </c>
      <c r="D33" s="5" t="s">
        <v>21</v>
      </c>
      <c r="E33" s="5" t="s">
        <v>256</v>
      </c>
      <c r="F33" s="5" t="s">
        <v>23</v>
      </c>
      <c r="G33" s="5" t="s">
        <v>24</v>
      </c>
      <c r="H33" s="5" t="s">
        <v>25</v>
      </c>
      <c r="I33" s="5" t="s">
        <v>113</v>
      </c>
      <c r="J33" s="5" t="s">
        <v>257</v>
      </c>
      <c r="K33" s="5" t="s">
        <v>28</v>
      </c>
      <c r="L33" s="5" t="s">
        <v>41</v>
      </c>
      <c r="M33" s="5" t="s">
        <v>30</v>
      </c>
      <c r="N33" s="5"/>
      <c r="O33" s="5" t="s">
        <v>258</v>
      </c>
      <c r="P33" s="5" t="s">
        <v>259</v>
      </c>
      <c r="Q33" s="5" t="s">
        <v>260</v>
      </c>
      <c r="R33" s="6" t="s">
        <v>46</v>
      </c>
      <c r="S33" s="7" t="s">
        <v>261</v>
      </c>
      <c r="T33" s="8" t="str">
        <f ca="1">IFERROR(__xludf.DUMMYFUNCTION("REGEXREPLACE(REGEXREPLACE(O33, ""[^0-9]"", """"), ""^620"", ""62"")"),"6281280550414")</f>
        <v>6281280550414</v>
      </c>
    </row>
    <row r="34" spans="1:20" ht="195" x14ac:dyDescent="0.2">
      <c r="A34" s="5" t="s">
        <v>262</v>
      </c>
      <c r="B34" s="5"/>
      <c r="C34" s="5" t="s">
        <v>20</v>
      </c>
      <c r="D34" s="5" t="s">
        <v>21</v>
      </c>
      <c r="E34" s="5" t="s">
        <v>263</v>
      </c>
      <c r="F34" s="5" t="s">
        <v>23</v>
      </c>
      <c r="G34" s="5" t="s">
        <v>24</v>
      </c>
      <c r="H34" s="5" t="s">
        <v>25</v>
      </c>
      <c r="I34" s="5" t="s">
        <v>50</v>
      </c>
      <c r="J34" s="5" t="s">
        <v>264</v>
      </c>
      <c r="K34" s="5" t="s">
        <v>28</v>
      </c>
      <c r="L34" s="5" t="s">
        <v>41</v>
      </c>
      <c r="M34" s="5" t="s">
        <v>62</v>
      </c>
      <c r="N34" s="5"/>
      <c r="O34" s="5" t="s">
        <v>265</v>
      </c>
      <c r="P34" s="5" t="s">
        <v>266</v>
      </c>
      <c r="Q34" s="5" t="s">
        <v>267</v>
      </c>
      <c r="R34" s="6" t="s">
        <v>46</v>
      </c>
      <c r="S34" s="7" t="s">
        <v>268</v>
      </c>
      <c r="T34" s="8" t="str">
        <f ca="1">IFERROR(__xludf.DUMMYFUNCTION("REGEXREPLACE(REGEXREPLACE(O34, ""[^0-9]"", """"), ""^620"", ""62"")"),"6285340756219")</f>
        <v>6285340756219</v>
      </c>
    </row>
    <row r="35" spans="1:20" ht="120" x14ac:dyDescent="0.2">
      <c r="A35" s="5" t="s">
        <v>269</v>
      </c>
      <c r="B35" s="5"/>
      <c r="C35" s="5" t="s">
        <v>20</v>
      </c>
      <c r="D35" s="5" t="s">
        <v>21</v>
      </c>
      <c r="E35" s="5" t="s">
        <v>270</v>
      </c>
      <c r="F35" s="5" t="s">
        <v>23</v>
      </c>
      <c r="G35" s="5" t="s">
        <v>24</v>
      </c>
      <c r="H35" s="5" t="s">
        <v>25</v>
      </c>
      <c r="I35" s="5" t="s">
        <v>26</v>
      </c>
      <c r="J35" s="5" t="s">
        <v>271</v>
      </c>
      <c r="K35" s="5" t="s">
        <v>40</v>
      </c>
      <c r="L35" s="5" t="s">
        <v>41</v>
      </c>
      <c r="M35" s="5" t="s">
        <v>52</v>
      </c>
      <c r="N35" s="5" t="s">
        <v>272</v>
      </c>
      <c r="O35" s="5" t="s">
        <v>273</v>
      </c>
      <c r="P35" s="5" t="s">
        <v>274</v>
      </c>
      <c r="Q35" s="5" t="s">
        <v>275</v>
      </c>
      <c r="R35" s="6" t="s">
        <v>34</v>
      </c>
      <c r="S35" s="7" t="s">
        <v>254</v>
      </c>
      <c r="T35" s="8" t="str">
        <f ca="1">IFERROR(__xludf.DUMMYFUNCTION("REGEXREPLACE(REGEXREPLACE(O35, ""[^0-9]"", """"), ""^620"", ""62"")"),"628189814095")</f>
        <v>628189814095</v>
      </c>
    </row>
    <row r="36" spans="1:20" ht="120" x14ac:dyDescent="0.2">
      <c r="A36" s="5" t="s">
        <v>276</v>
      </c>
      <c r="B36" s="5"/>
      <c r="C36" s="5" t="s">
        <v>20</v>
      </c>
      <c r="D36" s="5" t="s">
        <v>21</v>
      </c>
      <c r="E36" s="5" t="s">
        <v>277</v>
      </c>
      <c r="F36" s="5" t="s">
        <v>23</v>
      </c>
      <c r="G36" s="5" t="s">
        <v>24</v>
      </c>
      <c r="H36" s="5" t="s">
        <v>25</v>
      </c>
      <c r="I36" s="5" t="s">
        <v>26</v>
      </c>
      <c r="J36" s="5" t="s">
        <v>278</v>
      </c>
      <c r="K36" s="5" t="s">
        <v>40</v>
      </c>
      <c r="L36" s="5" t="s">
        <v>41</v>
      </c>
      <c r="M36" s="5" t="s">
        <v>42</v>
      </c>
      <c r="N36" s="5"/>
      <c r="O36" s="5" t="s">
        <v>279</v>
      </c>
      <c r="P36" s="5" t="s">
        <v>280</v>
      </c>
      <c r="Q36" s="5" t="s">
        <v>281</v>
      </c>
      <c r="R36" s="6" t="s">
        <v>34</v>
      </c>
      <c r="S36" s="7" t="s">
        <v>254</v>
      </c>
      <c r="T36" s="8" t="str">
        <f ca="1">IFERROR(__xludf.DUMMYFUNCTION("REGEXREPLACE(REGEXREPLACE(O36, ""[^0-9]"", """"), ""^620"", ""62"")"),"6282317230310")</f>
        <v>6282317230310</v>
      </c>
    </row>
    <row r="37" spans="1:20" ht="240" x14ac:dyDescent="0.2">
      <c r="A37" s="5" t="s">
        <v>282</v>
      </c>
      <c r="B37" s="5"/>
      <c r="C37" s="5" t="s">
        <v>20</v>
      </c>
      <c r="D37" s="5" t="s">
        <v>111</v>
      </c>
      <c r="E37" s="5" t="s">
        <v>283</v>
      </c>
      <c r="F37" s="5" t="s">
        <v>23</v>
      </c>
      <c r="G37" s="5" t="s">
        <v>24</v>
      </c>
      <c r="H37" s="5" t="s">
        <v>25</v>
      </c>
      <c r="I37" s="5" t="s">
        <v>113</v>
      </c>
      <c r="J37" s="5" t="s">
        <v>284</v>
      </c>
      <c r="K37" s="5" t="s">
        <v>28</v>
      </c>
      <c r="L37" s="5" t="s">
        <v>285</v>
      </c>
      <c r="M37" s="5" t="s">
        <v>52</v>
      </c>
      <c r="N37" s="5" t="s">
        <v>286</v>
      </c>
      <c r="O37" s="5" t="s">
        <v>287</v>
      </c>
      <c r="P37" s="5" t="s">
        <v>288</v>
      </c>
      <c r="Q37" s="5" t="s">
        <v>289</v>
      </c>
      <c r="R37" s="6" t="s">
        <v>46</v>
      </c>
      <c r="S37" s="7" t="s">
        <v>290</v>
      </c>
      <c r="T37" s="8" t="str">
        <f ca="1">IFERROR(__xludf.DUMMYFUNCTION("REGEXREPLACE(REGEXREPLACE(O37, ""[^0-9]"", """"), ""^620"", ""62"")"),"6282219606942")</f>
        <v>6282219606942</v>
      </c>
    </row>
    <row r="38" spans="1:20" ht="120" x14ac:dyDescent="0.2">
      <c r="A38" s="5" t="s">
        <v>291</v>
      </c>
      <c r="B38" s="5"/>
      <c r="C38" s="5" t="s">
        <v>20</v>
      </c>
      <c r="D38" s="5" t="s">
        <v>111</v>
      </c>
      <c r="E38" s="5" t="s">
        <v>292</v>
      </c>
      <c r="F38" s="5" t="s">
        <v>23</v>
      </c>
      <c r="G38" s="5" t="s">
        <v>24</v>
      </c>
      <c r="H38" s="5" t="s">
        <v>25</v>
      </c>
      <c r="I38" s="5" t="s">
        <v>26</v>
      </c>
      <c r="J38" s="5" t="s">
        <v>293</v>
      </c>
      <c r="K38" s="5" t="s">
        <v>40</v>
      </c>
      <c r="L38" s="5" t="s">
        <v>29</v>
      </c>
      <c r="M38" s="5" t="s">
        <v>77</v>
      </c>
      <c r="N38" s="5"/>
      <c r="O38" s="5" t="s">
        <v>294</v>
      </c>
      <c r="P38" s="5" t="s">
        <v>295</v>
      </c>
      <c r="Q38" s="5" t="s">
        <v>296</v>
      </c>
      <c r="R38" s="6" t="s">
        <v>34</v>
      </c>
      <c r="S38" s="7" t="s">
        <v>254</v>
      </c>
      <c r="T38" s="8" t="str">
        <f ca="1">IFERROR(__xludf.DUMMYFUNCTION("REGEXREPLACE(REGEXREPLACE(O38, ""[^0-9]"", """"), ""^620"", ""62"")"),"6282221116995")</f>
        <v>6282221116995</v>
      </c>
    </row>
  </sheetData>
  <dataValidations count="1">
    <dataValidation type="list" allowBlank="1" showErrorMessage="1" sqref="R2:R38" xr:uid="{4D972B6D-6611-D544-B8A3-6FFF230D764D}">
      <formula1>"Lolos,Tidak,Perlu dicek"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2025-11-15T13:26:34Z</dcterms:created>
  <dcterms:modified xsi:type="dcterms:W3CDTF">2025-11-15T13:26:52Z</dcterms:modified>
</cp:coreProperties>
</file>