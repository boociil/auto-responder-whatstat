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ardiansyah/side-project/wablas-autorespond/"/>
    </mc:Choice>
  </mc:AlternateContent>
  <xr:revisionPtr revIDLastSave="0" documentId="13_ncr:1_{86FA3A35-76CD-3B45-8DB9-5936F5D11E07}" xr6:coauthVersionLast="47" xr6:coauthVersionMax="47" xr10:uidLastSave="{00000000-0000-0000-0000-000000000000}"/>
  <bookViews>
    <workbookView xWindow="5180" yWindow="3420" windowWidth="28040" windowHeight="17440" xr2:uid="{10DEEC20-2507-4646-9FFF-7CAE61FB852F}"/>
  </bookViews>
  <sheets>
    <sheet name="Lembar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87" i="1" l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</calcChain>
</file>

<file path=xl/sharedStrings.xml><?xml version="1.0" encoding="utf-8"?>
<sst xmlns="http://schemas.openxmlformats.org/spreadsheetml/2006/main" count="1356" uniqueCount="567">
  <si>
    <t>Nama Lengkap</t>
  </si>
  <si>
    <t>Posisi</t>
  </si>
  <si>
    <t>Status Seleksi (1=Terpilih, 2=Tidak Terpilih)</t>
  </si>
  <si>
    <t>Posisi Daftar</t>
  </si>
  <si>
    <t>Alamat Detail</t>
  </si>
  <si>
    <t>Alamat Prov</t>
  </si>
  <si>
    <t>Alamat Kab</t>
  </si>
  <si>
    <t>Alamat Kec</t>
  </si>
  <si>
    <t>Alamat Desa</t>
  </si>
  <si>
    <t>Tempat, Tanggal Lahir (Umur)*</t>
  </si>
  <si>
    <t>Jenis Kelamin</t>
  </si>
  <si>
    <t>Pendidikan</t>
  </si>
  <si>
    <t>Pekerjaan</t>
  </si>
  <si>
    <t>Deskripsi Pekerjaan Lain</t>
  </si>
  <si>
    <t>No Telp</t>
  </si>
  <si>
    <t>SOBAT ID</t>
  </si>
  <si>
    <t>Email</t>
  </si>
  <si>
    <t>Administrasi</t>
  </si>
  <si>
    <t>Catatan</t>
  </si>
  <si>
    <t>telpon</t>
  </si>
  <si>
    <t>PUTRI NUR INDAH SARI. T</t>
  </si>
  <si>
    <t>Belum Konfirmasi</t>
  </si>
  <si>
    <t>Mitra (Pendataan dan Pengolahan)</t>
  </si>
  <si>
    <t>Jl.K.H.Adam Saleppa</t>
  </si>
  <si>
    <t>76</t>
  </si>
  <si>
    <t>01</t>
  </si>
  <si>
    <t>010</t>
  </si>
  <si>
    <t>004</t>
  </si>
  <si>
    <t>, 09 Desember 2001 (24)</t>
  </si>
  <si>
    <t>Pr</t>
  </si>
  <si>
    <t>Tamat SMS/Sederajat</t>
  </si>
  <si>
    <t>Pelajar / Mahasiswa</t>
  </si>
  <si>
    <t>+62 853-4255-2960</t>
  </si>
  <si>
    <t>760123060008</t>
  </si>
  <si>
    <t>putrinurindahsarit09@gmail.com</t>
  </si>
  <si>
    <t>Lolos</t>
  </si>
  <si>
    <t>MUH.ALFA RESI ERWIN</t>
  </si>
  <si>
    <t>Rangas</t>
  </si>
  <si>
    <t>005</t>
  </si>
  <si>
    <t>, 30 Mei 2004 (21)</t>
  </si>
  <si>
    <t>Lk</t>
  </si>
  <si>
    <t>+62 852-3446-1860</t>
  </si>
  <si>
    <t>rezimajunior@gmail.com</t>
  </si>
  <si>
    <t>Perlu dicek</t>
  </si>
  <si>
    <t>tidak upload ijazah, tapi uplaod akte kelahiran</t>
  </si>
  <si>
    <t>Desi amalia anwar</t>
  </si>
  <si>
    <t>Camba</t>
  </si>
  <si>
    <t>002</t>
  </si>
  <si>
    <t>, 24 Maret 1997 (28)</t>
  </si>
  <si>
    <t>Tamat S2</t>
  </si>
  <si>
    <t>Pegawai / Guru Honorer</t>
  </si>
  <si>
    <t>+62 823-9930-6906</t>
  </si>
  <si>
    <t>760123030014</t>
  </si>
  <si>
    <t>desyamelia218@gmail.com</t>
  </si>
  <si>
    <t>NURUL AFIAH ANWAR</t>
  </si>
  <si>
    <t>camba</t>
  </si>
  <si>
    <t>, 24 Maret 1995 (30)</t>
  </si>
  <si>
    <t>Lainnya</t>
  </si>
  <si>
    <t>freelance</t>
  </si>
  <si>
    <t>+62 082-3931-41977</t>
  </si>
  <si>
    <t>760122110009</t>
  </si>
  <si>
    <t>nurulafiah651@gmail.com</t>
  </si>
  <si>
    <t>Dian Ekawati</t>
  </si>
  <si>
    <t>Jl. Manunggal no. 10 Galung selatan</t>
  </si>
  <si>
    <t>008</t>
  </si>
  <si>
    <t>, 01 Juli 1993 (32)</t>
  </si>
  <si>
    <t>Tamat D4/S1</t>
  </si>
  <si>
    <t>Mengurus Rumah Tangga</t>
  </si>
  <si>
    <t>+62 821-8867-3868</t>
  </si>
  <si>
    <t>760122110003</t>
  </si>
  <si>
    <t>dianekawati1231@gmail.com</t>
  </si>
  <si>
    <t>Syahri Anwar</t>
  </si>
  <si>
    <t>Mitra Pengolahan</t>
  </si>
  <si>
    <t>Jalan R. A. Kartini Lingkungan Pa'leo Tobandaq</t>
  </si>
  <si>
    <t>003</t>
  </si>
  <si>
    <t>, 16 Mei 1990 (35)</t>
  </si>
  <si>
    <t>Konsultan Perencanaan/ Pengawasan Bidang Konstruksi</t>
  </si>
  <si>
    <t>+62 822-4619-8823</t>
  </si>
  <si>
    <t>anwar.syahri@yahoo.com</t>
  </si>
  <si>
    <t>tidak ada dok administrasi dan ket lainnya kosong</t>
  </si>
  <si>
    <t>Ahmad Farisyah</t>
  </si>
  <si>
    <t>Ling. Pangali-ali</t>
  </si>
  <si>
    <t>, 10 Agustus 1993 (32)</t>
  </si>
  <si>
    <t>Wiraswasta</t>
  </si>
  <si>
    <t>+62 082-2929-06664</t>
  </si>
  <si>
    <t>allialatas8@gmail.com</t>
  </si>
  <si>
    <t>tidak punya motor tapi bisa mengendarai, punya android tapi Hpnya Iphone (?)</t>
  </si>
  <si>
    <t>SULTAN EKA PUTRA</t>
  </si>
  <si>
    <t>Mitra Pendataan</t>
  </si>
  <si>
    <t>Jalan jenderal Gatot Subroto no 67</t>
  </si>
  <si>
    <t>, 26 Agustus 1994 (31)</t>
  </si>
  <si>
    <t>+62 852-9897-3105</t>
  </si>
  <si>
    <t>760122020017</t>
  </si>
  <si>
    <t>sultanekaputra643@gmail.com</t>
  </si>
  <si>
    <t>Atnuari H</t>
  </si>
  <si>
    <t>Jln.m saleh Banjar pakkola</t>
  </si>
  <si>
    <t>, 01 Januari 1995 (30)</t>
  </si>
  <si>
    <t>Belum bekerja</t>
  </si>
  <si>
    <t>+62 853-4040-5558</t>
  </si>
  <si>
    <t>760122030028</t>
  </si>
  <si>
    <t>Narhakoni@gmail.com</t>
  </si>
  <si>
    <t>dom Majene tapi KTP Pasangkayu (tidak ada surat dom), sepertinya mitra lama</t>
  </si>
  <si>
    <t>Fitrah</t>
  </si>
  <si>
    <t>Desa palipi soreang, kecamatan Banggae, kabupaten Majene, provinsi Sulawesi barat</t>
  </si>
  <si>
    <t>006</t>
  </si>
  <si>
    <t>, 19 April 2026 (-2)</t>
  </si>
  <si>
    <t>Belum ada</t>
  </si>
  <si>
    <t>+62 083-1116-27850</t>
  </si>
  <si>
    <t>fitrahmario26@gmail.com</t>
  </si>
  <si>
    <t>tanggal lahir di profil dan KTP beda (sepertinya terbalik)</t>
  </si>
  <si>
    <t>Misnawati</t>
  </si>
  <si>
    <t>Lingkungan Rangas Tammalassu, RT 001</t>
  </si>
  <si>
    <t>, 28 Januari 1993 (32)</t>
  </si>
  <si>
    <t>+62 812-4361-8993</t>
  </si>
  <si>
    <t>misnaibrahim011@gmail.com</t>
  </si>
  <si>
    <t>Takda foto, yg lain oke</t>
  </si>
  <si>
    <t>Nia Raizadani</t>
  </si>
  <si>
    <t>Lingk. Deteng-deteng</t>
  </si>
  <si>
    <t>001</t>
  </si>
  <si>
    <t>, 17 September 1996 (29)</t>
  </si>
  <si>
    <t>+62 812-4304-5956</t>
  </si>
  <si>
    <t>760123110227</t>
  </si>
  <si>
    <t>niaraizadani@gmail.com</t>
  </si>
  <si>
    <t>HARBI ANTO</t>
  </si>
  <si>
    <t xml:space="preserve">PANGALI-ALI </t>
  </si>
  <si>
    <t>, 31 Oktober 1997 (28)</t>
  </si>
  <si>
    <t>+62 085-3335-07275</t>
  </si>
  <si>
    <t>harbiantojawahir@gmail.com</t>
  </si>
  <si>
    <t>takda dok administrasi, foto, dan keterangan lainnya kosong</t>
  </si>
  <si>
    <t>Muhammad Aldiansyah</t>
  </si>
  <si>
    <t>LINGK.PANGGALO RT 001/ RW 000</t>
  </si>
  <si>
    <t>, 07 Mei 2004 (21)</t>
  </si>
  <si>
    <t>+62 853-4144-6318</t>
  </si>
  <si>
    <t>muhammadaldiansyah044@gmail.com</t>
  </si>
  <si>
    <t>NURAINI</t>
  </si>
  <si>
    <t>Dusun Lambe</t>
  </si>
  <si>
    <t>, 17 Agustus 2005 (20)</t>
  </si>
  <si>
    <t>+62 878-8846-2639</t>
  </si>
  <si>
    <t>ainiii1708@gmail.com</t>
  </si>
  <si>
    <t>Muhammad Rifki</t>
  </si>
  <si>
    <t>Jalan BLK Kel. Totoli</t>
  </si>
  <si>
    <t>, 22 Januari 2003 (22)</t>
  </si>
  <si>
    <t>Petani</t>
  </si>
  <si>
    <t>+62 822-1435-1692</t>
  </si>
  <si>
    <t>muh54189@gmail.com</t>
  </si>
  <si>
    <t>Asmarani diana</t>
  </si>
  <si>
    <t>Green pesona Rangas blok b9</t>
  </si>
  <si>
    <t>SURABAYA, 02 Maret 1979 (46)</t>
  </si>
  <si>
    <t>Tamat D1/D2/D3</t>
  </si>
  <si>
    <t>+62 082-3303-73322</t>
  </si>
  <si>
    <t>760123110185</t>
  </si>
  <si>
    <t>asmaranidiliana@gmail.com</t>
  </si>
  <si>
    <t>Faizal Ramadhan syah Pusadan</t>
  </si>
  <si>
    <t>Perumahan Green Pesona Ragas blok E1</t>
  </si>
  <si>
    <t>PALU, 04 Juli 1982 (43)</t>
  </si>
  <si>
    <t xml:space="preserve">Surveyor lembaga penelitian </t>
  </si>
  <si>
    <t>+62 852-9977-9411</t>
  </si>
  <si>
    <t>faisal.pusadan@gmail.com</t>
  </si>
  <si>
    <t>dok administrasi kosong</t>
  </si>
  <si>
    <t xml:space="preserve">Nur Fajria Masjkur </t>
  </si>
  <si>
    <t xml:space="preserve">Lingkungan rusung kelurahan Pangali-ali </t>
  </si>
  <si>
    <t>SOPPENG, 15 Februari 1996 (29)</t>
  </si>
  <si>
    <t>+62 823-4584-3348</t>
  </si>
  <si>
    <t>760123030007</t>
  </si>
  <si>
    <t>riaa88789@gmail.com</t>
  </si>
  <si>
    <t>tidak punya laptop, mitra lama</t>
  </si>
  <si>
    <t>YUYUN PRISKA YANI</t>
  </si>
  <si>
    <t>Jln Emmy Saelan, Tanangan barat</t>
  </si>
  <si>
    <t>WAJO, 27 Januari 1998 (27)</t>
  </si>
  <si>
    <t>Kader PKK / Karang Taruna / Kader Lainnya</t>
  </si>
  <si>
    <t>+62 812-4210-5010</t>
  </si>
  <si>
    <t>760122090074</t>
  </si>
  <si>
    <t>yuyunpriskayani@gmail.com</t>
  </si>
  <si>
    <t>SRI AGUSTY PUTRI</t>
  </si>
  <si>
    <t>LINGK. PANGALI ALI</t>
  </si>
  <si>
    <t>MAKASSAR, 15 Agustus 1989 (36)</t>
  </si>
  <si>
    <t>DOSEN</t>
  </si>
  <si>
    <t>+62 822-3467-8915</t>
  </si>
  <si>
    <t>760123110183</t>
  </si>
  <si>
    <t>sriagustyputriutsman@gmail.com</t>
  </si>
  <si>
    <t>Pekerjaan DOSEN (tidak menyebutkan honorer atau bukan) yg lain oke</t>
  </si>
  <si>
    <t>AISYAH MAYDINA</t>
  </si>
  <si>
    <t>Jalan Manunggal Nomor 25 Galung Selatan</t>
  </si>
  <si>
    <t>MAKASSAR, 18 Desember 1999 (26)</t>
  </si>
  <si>
    <t>+62 857-9993-7461</t>
  </si>
  <si>
    <t>760123110136</t>
  </si>
  <si>
    <t>mydnicha@gmail.com</t>
  </si>
  <si>
    <t>takda ijazah</t>
  </si>
  <si>
    <t>NUR ALAMSYAH MASJKUR</t>
  </si>
  <si>
    <t xml:space="preserve">BTN Griya PesonaLepangan </t>
  </si>
  <si>
    <t>PAREPARE, 18 Oktober 1990 (35)</t>
  </si>
  <si>
    <t>Freelancer Multimedia</t>
  </si>
  <si>
    <t>+62 853-9468-3232</t>
  </si>
  <si>
    <t>760122040001</t>
  </si>
  <si>
    <t>neptunus.pa@gmail.com</t>
  </si>
  <si>
    <t>Multasya</t>
  </si>
  <si>
    <t>Jalan Syekh Abdul Mannan Paccana Salabose</t>
  </si>
  <si>
    <t>MAJENE, 31 Desember 2002 (23)</t>
  </si>
  <si>
    <t>+62 822-9362-6045</t>
  </si>
  <si>
    <t>multasya9@gmail.com</t>
  </si>
  <si>
    <t>foto dan dok administrasi takda</t>
  </si>
  <si>
    <t>MILAD EKA FEBRIANSYAH</t>
  </si>
  <si>
    <t>JL. SYUKUR RAHIM NO. 18 RT 002 RW 000</t>
  </si>
  <si>
    <t>MAJENE, 10 Februari 2004 (21)</t>
  </si>
  <si>
    <t>+62 082-2784-67504</t>
  </si>
  <si>
    <t>miladekafebriansyah@gmail.com</t>
  </si>
  <si>
    <t>NURMADINAH</t>
  </si>
  <si>
    <t>Jl. Sataran, Lingk. Garo'go</t>
  </si>
  <si>
    <t>MAJENE, 03 April 2002 (23)</t>
  </si>
  <si>
    <t>+62 821-3122-7423</t>
  </si>
  <si>
    <t>nurmadinahxtki1@gmail.com</t>
  </si>
  <si>
    <t>ASDI</t>
  </si>
  <si>
    <t>Rangas Tammalassu, RT 001 / RW -</t>
  </si>
  <si>
    <t>MAJENE, 29 Oktober 1991 (34)</t>
  </si>
  <si>
    <t>+62 823-7275-5507</t>
  </si>
  <si>
    <t>siasdi91@gmail.com</t>
  </si>
  <si>
    <t>Muhammad Ilham Bakry</t>
  </si>
  <si>
    <t>Jl. A. Waris dg. Tompo</t>
  </si>
  <si>
    <t>MAJENE, 13 April 1995 (30)</t>
  </si>
  <si>
    <t>Penjaga kios</t>
  </si>
  <si>
    <t>+62 895-3330-75744</t>
  </si>
  <si>
    <t>illank.1910@gmail.com</t>
  </si>
  <si>
    <t>DARTI CAHYA</t>
  </si>
  <si>
    <t xml:space="preserve">Jl.jendral Ahmad Yani </t>
  </si>
  <si>
    <t>MAJENE, 17 September 2005 (20)</t>
  </si>
  <si>
    <t>Membantu ibu dirumah</t>
  </si>
  <si>
    <t>+62 838-9905-6907</t>
  </si>
  <si>
    <t>Cayaa0654@gmail.com</t>
  </si>
  <si>
    <t>7605014103000004</t>
  </si>
  <si>
    <t>Jl.lanto Dg Pasewang Pakkola</t>
  </si>
  <si>
    <t>MAJENE, 01 Maret 2000 (25)</t>
  </si>
  <si>
    <t>+62 821-9359-3509</t>
  </si>
  <si>
    <t>muhalwu56@gmail.com</t>
  </si>
  <si>
    <t xml:space="preserve">Mutia Aqida Putri Fajar </t>
  </si>
  <si>
    <t>Jl. Mayjend Azis Bustam no. 50 Pakkola</t>
  </si>
  <si>
    <t>MAJENE, 11 September 1999 (26)</t>
  </si>
  <si>
    <t>+62 082-3467-67504</t>
  </si>
  <si>
    <t>mutiaaqidaputrifajar11@gmail.com</t>
  </si>
  <si>
    <t>M.SUHUD.K</t>
  </si>
  <si>
    <t>Lingkungan Camba</t>
  </si>
  <si>
    <t>MAJENE, 14 Februari 1990 (35)</t>
  </si>
  <si>
    <t>+62 853-9977-6276</t>
  </si>
  <si>
    <t>suhud14.ita@gmail.com</t>
  </si>
  <si>
    <t>Indah pratiwi</t>
  </si>
  <si>
    <t>Jalan ABD Lazim lingkungan camba</t>
  </si>
  <si>
    <t>MAJENE, 19 Oktober 1996 (29)</t>
  </si>
  <si>
    <t>+62 821-8777-2716</t>
  </si>
  <si>
    <t>760122030057</t>
  </si>
  <si>
    <t>indahpratiwiirwan@gmail.com</t>
  </si>
  <si>
    <t>Hapsah</t>
  </si>
  <si>
    <t>Lingk. Passarang selatan</t>
  </si>
  <si>
    <t>MAJENE, 05 Oktober 1996 (29)</t>
  </si>
  <si>
    <t>Aparat Desa / Kelurahan</t>
  </si>
  <si>
    <t>+62 083-1045-3763</t>
  </si>
  <si>
    <t>760122090073</t>
  </si>
  <si>
    <t>Hapsahacha81@gmail.com</t>
  </si>
  <si>
    <t>Risman</t>
  </si>
  <si>
    <t>Jalan Mayjend Azis Bustam Lingkungan Pakkola Kelurahan Banggae Kecamatan Banggae</t>
  </si>
  <si>
    <t>MAJENE, 10 Maret 1992 (33)</t>
  </si>
  <si>
    <t>+62 853-4037-0808</t>
  </si>
  <si>
    <t>760122090041</t>
  </si>
  <si>
    <t>rismanstieyapmanmajene@gmail.com</t>
  </si>
  <si>
    <t>ILHAM DAHLAN</t>
  </si>
  <si>
    <t>Jalan Manunggal galung selatan</t>
  </si>
  <si>
    <t>MAJENE, 03 Desember 1988 (37)</t>
  </si>
  <si>
    <t>+62 082-2621-09257</t>
  </si>
  <si>
    <t>760122050005</t>
  </si>
  <si>
    <t>dahlanilham@gmail.com</t>
  </si>
  <si>
    <t>MUH ILHAM</t>
  </si>
  <si>
    <t>Jalan sumur 3</t>
  </si>
  <si>
    <t>MAJENE, 13 Januari 2003 (22)</t>
  </si>
  <si>
    <t>Mengurus rumah tangga</t>
  </si>
  <si>
    <t>+62 822-9217-8043</t>
  </si>
  <si>
    <t>760122020019</t>
  </si>
  <si>
    <t>illankz245@gmail.com</t>
  </si>
  <si>
    <t>Jeni Yasin</t>
  </si>
  <si>
    <t>Jl. Labora Teppo</t>
  </si>
  <si>
    <t>MAJENE, 04 Agustus 1994 (31)</t>
  </si>
  <si>
    <t>Tutor</t>
  </si>
  <si>
    <t>+62 852-9868-5824</t>
  </si>
  <si>
    <t>737222050003</t>
  </si>
  <si>
    <t>jennytekpen@gmail.com</t>
  </si>
  <si>
    <t>ASTRI</t>
  </si>
  <si>
    <t>Jl. Jend.Ahmad Yani, Tanangan</t>
  </si>
  <si>
    <t>MAJENE, 16 April 1994 (31)</t>
  </si>
  <si>
    <t>Kesehatan</t>
  </si>
  <si>
    <t>+62 823-4390-9394</t>
  </si>
  <si>
    <t>astrizainal737@gmail.com</t>
  </si>
  <si>
    <t>YUSRIL MA’RUF MUSLIM</t>
  </si>
  <si>
    <t>Rangas Pa’besoang RT 005 RW 000</t>
  </si>
  <si>
    <t>MAJENE, 27 April 2004 (21)</t>
  </si>
  <si>
    <t>+62 851-6762-6607</t>
  </si>
  <si>
    <t>yusrilruly00@gmail.com</t>
  </si>
  <si>
    <t>MARIANI</t>
  </si>
  <si>
    <t>PAMBOBORANG SELATAN RT.002 RW.000</t>
  </si>
  <si>
    <t>007</t>
  </si>
  <si>
    <t>MAJENE, 31 Desember 1989 (36)</t>
  </si>
  <si>
    <t>+62 813-4278-5259</t>
  </si>
  <si>
    <t>anaharidinata02@gmail.com</t>
  </si>
  <si>
    <t xml:space="preserve">zahra luhfita </t>
  </si>
  <si>
    <t>jalan Labora Kel.Baru Kec.Banggae</t>
  </si>
  <si>
    <t>MAJENE, 23 Desember 2001 (24)</t>
  </si>
  <si>
    <t>+62 085-3407-61500</t>
  </si>
  <si>
    <t>zahraluhfita3@gmail.com</t>
  </si>
  <si>
    <t>ADIM FAUZAN. S</t>
  </si>
  <si>
    <t>MAJENE</t>
  </si>
  <si>
    <t>MAJENE, 15 Januari 2007 (18)</t>
  </si>
  <si>
    <t>+62 082-1918-86588</t>
  </si>
  <si>
    <t>fauzan15012007@gmail.com</t>
  </si>
  <si>
    <t>Muslihati R.</t>
  </si>
  <si>
    <t>Jln.Manunggal, Lingk. Galung Tengah, Kel. Galung, kec. Banggae, kab. Majene, prov.Sulawesi Barat</t>
  </si>
  <si>
    <t>MAJENE, 29 Maret 1990 (35)</t>
  </si>
  <si>
    <t>+62 896-4711-6440</t>
  </si>
  <si>
    <t>760123110195</t>
  </si>
  <si>
    <t>athi.rahman1990@gmail.com</t>
  </si>
  <si>
    <t xml:space="preserve">NOVITASARI </t>
  </si>
  <si>
    <t xml:space="preserve">CAMBA </t>
  </si>
  <si>
    <t>MAJENE, 27 November 1992 (32)</t>
  </si>
  <si>
    <t>+62 085-2997-04099</t>
  </si>
  <si>
    <t>itacamba90@gmail.com</t>
  </si>
  <si>
    <t>EVI NURWANDA</t>
  </si>
  <si>
    <t>TIMBO TIMBO</t>
  </si>
  <si>
    <t>MAJENE, 04 Agustus 1999 (26)</t>
  </si>
  <si>
    <t>+62 085-2981-19700</t>
  </si>
  <si>
    <t>760123110069</t>
  </si>
  <si>
    <t>evinurwanda88@gmail.com</t>
  </si>
  <si>
    <t>MUHAMMAD HILAL MUBARAK</t>
  </si>
  <si>
    <t xml:space="preserve">Jalan Mayjend Azis Bustam Nomor 12 Saleppa </t>
  </si>
  <si>
    <t>MAJENE, 05 Maret 2000 (25)</t>
  </si>
  <si>
    <t>+62 085-2110-06213</t>
  </si>
  <si>
    <t>760123060015</t>
  </si>
  <si>
    <t>hilalmubarak2000@gmail.com</t>
  </si>
  <si>
    <t>MUH ALI</t>
  </si>
  <si>
    <t>Jalan Rangas Tammalassu</t>
  </si>
  <si>
    <t>MAJENE, 27 Maret 2000 (25)</t>
  </si>
  <si>
    <t>+62 813-5560-2274</t>
  </si>
  <si>
    <t>muhaliumar27@gmail.com</t>
  </si>
  <si>
    <t>Putri wulandari fajar</t>
  </si>
  <si>
    <t>Jl. Mayjend azis bustam</t>
  </si>
  <si>
    <t>MAJENE, 19 Januari 1992 (33)</t>
  </si>
  <si>
    <t>+62 853-4085-6282</t>
  </si>
  <si>
    <t>760123030003</t>
  </si>
  <si>
    <t>Nooralansalam@gmail.com</t>
  </si>
  <si>
    <t>Lenny Handayani</t>
  </si>
  <si>
    <t>Lingkungan Battayang</t>
  </si>
  <si>
    <t>MAJENE, 06 September 1998 (27)</t>
  </si>
  <si>
    <t>-</t>
  </si>
  <si>
    <t>082344419498</t>
  </si>
  <si>
    <t>760123020017</t>
  </si>
  <si>
    <t>lennyhandayanii06@gmail.com</t>
  </si>
  <si>
    <t>WAFTA ADRIANTI USWAT</t>
  </si>
  <si>
    <t>GALUNG TENGAH</t>
  </si>
  <si>
    <t>MAJENE, 10 April 1999 (26)</t>
  </si>
  <si>
    <t>Usaha makanan cemilan</t>
  </si>
  <si>
    <t>+62 813-4396-9437</t>
  </si>
  <si>
    <t>760122030026</t>
  </si>
  <si>
    <t>wafta1004@gmail.com</t>
  </si>
  <si>
    <t>Idul Fitri Abdullah</t>
  </si>
  <si>
    <t>Lingkungan Camba Utara</t>
  </si>
  <si>
    <t>MAJENE, 27 Desember 2000 (25)</t>
  </si>
  <si>
    <t>+62 878-1608-7250</t>
  </si>
  <si>
    <t>760123110154</t>
  </si>
  <si>
    <t>idul.fa27@gmail.com</t>
  </si>
  <si>
    <t xml:space="preserve">Fatahuddin </t>
  </si>
  <si>
    <t xml:space="preserve">Tanangan, Kel.Pangali Ali, kec. Banggae, Kab. Majene </t>
  </si>
  <si>
    <t>MAJENE, 21 Februari 1993 (32)</t>
  </si>
  <si>
    <t>+62 082-3472-79725</t>
  </si>
  <si>
    <t>07alfattah@gmail.com</t>
  </si>
  <si>
    <t>Mahfuda Habsi</t>
  </si>
  <si>
    <t>jalan R.A Kartini No 125 ling Pa'leo Tobandaq Kel Pangali-Ali Kec Banggae</t>
  </si>
  <si>
    <t>MAJENE, 10 Desember 1998 (27)</t>
  </si>
  <si>
    <t>+62 852-5642-0631</t>
  </si>
  <si>
    <t>760123110033</t>
  </si>
  <si>
    <t>mahfudahabsi317@gmail.com</t>
  </si>
  <si>
    <t xml:space="preserve">Muhammad Agung </t>
  </si>
  <si>
    <t xml:space="preserve"> Lingkungan Pa'leo, Pangali-Ali, Kec. Banggae, Kabupaten Majene, Sulawesi Barat 1,3 km</t>
  </si>
  <si>
    <t>MAJENE, 17 Agustus 1994 (31)</t>
  </si>
  <si>
    <t>+62 853-5341-7736</t>
  </si>
  <si>
    <t>agungmuhammad176@gmail.com</t>
  </si>
  <si>
    <t>Nuraeni.N</t>
  </si>
  <si>
    <t>Lingkungan rusung</t>
  </si>
  <si>
    <t>MAJENE, 21 Agustus 1993 (32)</t>
  </si>
  <si>
    <t>+62 851-4519-3089</t>
  </si>
  <si>
    <t>nurdinnuraeni18@gmail.com</t>
  </si>
  <si>
    <t>Reka</t>
  </si>
  <si>
    <t>Rangas timur</t>
  </si>
  <si>
    <t>MAJENE, 23 Juni 1996 (29)</t>
  </si>
  <si>
    <t>Honorer</t>
  </si>
  <si>
    <t>+62 813-4746-4432</t>
  </si>
  <si>
    <t>rekaeka078@gmail.com</t>
  </si>
  <si>
    <t>Resmiati Saming</t>
  </si>
  <si>
    <t xml:space="preserve">Rw 02, Lingk. Battayang  Kelurahan Banggae, Kecamatan Banggae </t>
  </si>
  <si>
    <t>MAJENE, 05 September 1990 (35)</t>
  </si>
  <si>
    <t>+62 812-4245-8874</t>
  </si>
  <si>
    <t>emmisaming90@gmail.com</t>
  </si>
  <si>
    <t>MUH. KAHAR</t>
  </si>
  <si>
    <t>MAJENE, 13 April 1993 (32)</t>
  </si>
  <si>
    <t>perawat honorer</t>
  </si>
  <si>
    <t>+62 813-5482-4611</t>
  </si>
  <si>
    <t>kaharpro270@gmail.com</t>
  </si>
  <si>
    <t>IRHAM ASHARI</t>
  </si>
  <si>
    <t>LINGK TANANGAN</t>
  </si>
  <si>
    <t>MAJENE, 11 Oktober 2001 (24)</t>
  </si>
  <si>
    <t>+62 085-2833-55936</t>
  </si>
  <si>
    <t>irhamashari35@gmail.com</t>
  </si>
  <si>
    <t>DIRGA PRATAMA</t>
  </si>
  <si>
    <t>Jalan H. BURAERAH</t>
  </si>
  <si>
    <t>MAJENE, 22 Juli 2006 (19)</t>
  </si>
  <si>
    <t>+62 082-3472-79624</t>
  </si>
  <si>
    <t>dirgaprtmdatuk@gmail.com</t>
  </si>
  <si>
    <t>Masliah</t>
  </si>
  <si>
    <t>Jl. Labora teppo</t>
  </si>
  <si>
    <t>MAJENE, 16 Agustus 1993 (32)</t>
  </si>
  <si>
    <t>Freelance</t>
  </si>
  <si>
    <t>+62 853-4382-0112</t>
  </si>
  <si>
    <t>760123020004</t>
  </si>
  <si>
    <t>masliahardifa08@gmail.com</t>
  </si>
  <si>
    <t>Fitriani S</t>
  </si>
  <si>
    <t>MAJENE, 28 Februari 1993 (32)</t>
  </si>
  <si>
    <t>+62 852-5690-6185</t>
  </si>
  <si>
    <t>760123020013</t>
  </si>
  <si>
    <t>budimanfitriani687@gmail.com</t>
  </si>
  <si>
    <t>ira</t>
  </si>
  <si>
    <t>Tanangan barat kelurahan pangali-ali</t>
  </si>
  <si>
    <t>MAJENE, 31 Desember 1992 (33)</t>
  </si>
  <si>
    <t>+62 853-4249-6066</t>
  </si>
  <si>
    <t>760123020019</t>
  </si>
  <si>
    <t>irarazak92@gmail.com</t>
  </si>
  <si>
    <t>Kuswardani Soenoe</t>
  </si>
  <si>
    <t xml:space="preserve">Jl jendral Gatot Subroto pa'leo </t>
  </si>
  <si>
    <t>MAJENE, 29 Desember 1969 (56)</t>
  </si>
  <si>
    <t>+62 821-9374-7447</t>
  </si>
  <si>
    <t>760123030002</t>
  </si>
  <si>
    <t>kuswardanisri9@gmail.com</t>
  </si>
  <si>
    <t>Aswin</t>
  </si>
  <si>
    <t>Jl.Lagama Dusun Konja RT 2</t>
  </si>
  <si>
    <t>MAJENE, 27 September 1992 (33)</t>
  </si>
  <si>
    <t>Tenaga Sukarela</t>
  </si>
  <si>
    <t>+62 821-8738-1329</t>
  </si>
  <si>
    <t>760123110021</t>
  </si>
  <si>
    <t>majeneaswin46@gmail.com</t>
  </si>
  <si>
    <t>Rizki sefriana idris s</t>
  </si>
  <si>
    <t>JL. LAGAMA, KONJA SELATAN</t>
  </si>
  <si>
    <t>MAJENE, 23 September 1998 (27)</t>
  </si>
  <si>
    <t xml:space="preserve">Honorer </t>
  </si>
  <si>
    <t>+62 524-1192-094</t>
  </si>
  <si>
    <t>rizkiidriss@gmail.com</t>
  </si>
  <si>
    <t>Muhammad Vernanda</t>
  </si>
  <si>
    <t>lingkungan tanangan barat</t>
  </si>
  <si>
    <t>MAJENE, 15 Januari 2001 (24)</t>
  </si>
  <si>
    <t>marketing</t>
  </si>
  <si>
    <t>+62 087-8333-58545</t>
  </si>
  <si>
    <t>muhammadvernando3@gmail.com</t>
  </si>
  <si>
    <t xml:space="preserve">DEWI </t>
  </si>
  <si>
    <t>Lingkungan deteng-deteng</t>
  </si>
  <si>
    <t>MAJENE, 17 Oktober 1990 (35)</t>
  </si>
  <si>
    <t xml:space="preserve">Kader Bina keluarga Balita </t>
  </si>
  <si>
    <t>+62 812-4267-6374</t>
  </si>
  <si>
    <t>760123080013</t>
  </si>
  <si>
    <t>90dewi90@gmail.com</t>
  </si>
  <si>
    <t>Mushlihah Salman</t>
  </si>
  <si>
    <t>Lingkungan Pakkola</t>
  </si>
  <si>
    <t>MAJENE, 25 Mei 1989 (36)</t>
  </si>
  <si>
    <t>Staf Honorer</t>
  </si>
  <si>
    <t>+62 813-5495-2694</t>
  </si>
  <si>
    <t>760123050003</t>
  </si>
  <si>
    <t>salmanmushlihah6@gmail.com</t>
  </si>
  <si>
    <t>St. Mutmainna</t>
  </si>
  <si>
    <t>Lingk.Battayang,Kec.Banggae,Kel.Banggae</t>
  </si>
  <si>
    <t>MAJENE, 24 Februari 2002 (23)</t>
  </si>
  <si>
    <t>+62 852-4131-8095</t>
  </si>
  <si>
    <t>st.mutmainna24022002@gmail.com</t>
  </si>
  <si>
    <t xml:space="preserve">Ida Wahyuni </t>
  </si>
  <si>
    <t xml:space="preserve">Lingkungan Tanangan </t>
  </si>
  <si>
    <t>MAJENE, 30 November 1987 (37)</t>
  </si>
  <si>
    <t>+62 085-3408-09820</t>
  </si>
  <si>
    <t>760123030022</t>
  </si>
  <si>
    <t>idawahyunisyam11@gmail.com</t>
  </si>
  <si>
    <t>Sahlul s.</t>
  </si>
  <si>
    <t>Jln poros majene Mamuju RT 09</t>
  </si>
  <si>
    <t>MAJENE, 23 September 1996 (29)</t>
  </si>
  <si>
    <t>+62 821-8960-3494</t>
  </si>
  <si>
    <t>760122090017</t>
  </si>
  <si>
    <t>sahlul2396@gmail.com</t>
  </si>
  <si>
    <t>Ita Puspita sari</t>
  </si>
  <si>
    <t>lingk,garo'go selatan kel.baru kec,banggae kab .majene</t>
  </si>
  <si>
    <t>MAJENE, 15 Oktober 1990 (35)</t>
  </si>
  <si>
    <t>+62 852-9804-2379</t>
  </si>
  <si>
    <t>760122090142</t>
  </si>
  <si>
    <t>ithap199@gmail.com</t>
  </si>
  <si>
    <t>Muhammad lutfi</t>
  </si>
  <si>
    <t>Dusun Kanappe desa Palipi soreang</t>
  </si>
  <si>
    <t>MAJENE, 08 Maret 1987 (38)</t>
  </si>
  <si>
    <t>+62 852-9989-6839</t>
  </si>
  <si>
    <t>760122030025</t>
  </si>
  <si>
    <t>muhlutfi813@gmail.com</t>
  </si>
  <si>
    <t>- Pernah mengikuti kegiatan BPS (MBG Baseline, SP, Regosek, Sakernas, Harga Kemahalan Konstruksi, Harga Produsen, SKTR. Perusahaan Konstruksi, Ubinan)
- S1
- Ada hubungan K/L (honorer di kantor desa)
- HP android
- Kendaraan aman
- ada laptop bisa komputer</t>
  </si>
  <si>
    <t>Nurmadina</t>
  </si>
  <si>
    <t>Jalan Labora Dusun Galung Paara Desa Pamboborang Kec.Banggae, Kab. Majene Provinsi Sulawesi Barat</t>
  </si>
  <si>
    <t>MAJENE, 07 November 1994 (31)</t>
  </si>
  <si>
    <t>+62 822-9349-2029</t>
  </si>
  <si>
    <t>760122030004</t>
  </si>
  <si>
    <t>nurmadinajalal@gmail.com</t>
  </si>
  <si>
    <t>- Foto tidak Sesuai
- Pernah mengikuti kegiatan BPS (SP, KUMKM, Regsosek, ST)
- S1
- Tidak ada hubungan K/L
- HP android
- Kendaraan aman
- ada laptop bisa komputer</t>
  </si>
  <si>
    <t>Hasliana</t>
  </si>
  <si>
    <t>Lingk. Rangas Timur</t>
  </si>
  <si>
    <t>MAJENE, 25 Oktober 1991 (34)</t>
  </si>
  <si>
    <t>+62 823-4601-3564</t>
  </si>
  <si>
    <t>760122030005</t>
  </si>
  <si>
    <t>anhahasliana09@gmail.com</t>
  </si>
  <si>
    <t>- Foto tidak Sesuai
- Pernah mengikuti kegiatan BPS (SP, KUMKM, Regsosek, ST)
- S1
- tertulis tidak ada hubungan dengan K/L (tapi kayaknya honorer di kantor desa rangas)
- HP android
- Kendaraan aman
- ada laptop bisa komputer</t>
  </si>
  <si>
    <t>nufiah hestisari</t>
  </si>
  <si>
    <t>MAJENE, 16 Juli 1994 (31)</t>
  </si>
  <si>
    <t>+62 082-9608-5931</t>
  </si>
  <si>
    <t>760122030035</t>
  </si>
  <si>
    <t>hestisari402@gmail.com</t>
  </si>
  <si>
    <t>- Foto tidak Sesuai
- Pernah mengikuti kegiatan BPS (SP, KUMKM, Regsosek, ST)
- S1
- Ada hubungan K/L (Aparat desa Palipi Soreang)
- HP android
- Kendaraan aman
- ada laptop bisa komputer</t>
  </si>
  <si>
    <t xml:space="preserve">Nur Afiah Tur Rahma </t>
  </si>
  <si>
    <t>MAJENE, 18 April 2003 (22)</t>
  </si>
  <si>
    <t>+62 812-4485-2299</t>
  </si>
  <si>
    <t>rahmaafiah457@gmail.com</t>
  </si>
  <si>
    <t>- Calon mitra baru
- SMA
- Tidak ada hubungan K/L
- HP android
- Kendaraan aman
- ada laptop bisa komputer</t>
  </si>
  <si>
    <t>MUH ALIF RISKY</t>
  </si>
  <si>
    <t>Jl. Jend Gatot Subroto No.67 Paleo</t>
  </si>
  <si>
    <t>MAJENE, 24 Juli 2005 (20)</t>
  </si>
  <si>
    <t>+62 082-3478-21942</t>
  </si>
  <si>
    <t>760123110011</t>
  </si>
  <si>
    <t>alifrisky2005@gmail.com</t>
  </si>
  <si>
    <t>- Pernah mengikuti kegiatan BPS (Sakernas, SKP)
- SMA
- Tidak ada hubungan K/L
- HP android
- Kendaraan aman
- ada laptop tidak bisa komputer</t>
  </si>
  <si>
    <t>MUH. MUHAWWID</t>
  </si>
  <si>
    <t>LINGK. SALEPPA</t>
  </si>
  <si>
    <t>MAJENE, 17 Agustus 2004 (21)</t>
  </si>
  <si>
    <t>+62 852-5597-5469</t>
  </si>
  <si>
    <t>760123110017</t>
  </si>
  <si>
    <t>muhawwidmuh@gmail.com</t>
  </si>
  <si>
    <t>Muh. Agus</t>
  </si>
  <si>
    <t>Salabose</t>
  </si>
  <si>
    <t>POLEWALI MANDAR, 27 Juli 1993 (32)</t>
  </si>
  <si>
    <t>+62 852-5613-3730</t>
  </si>
  <si>
    <t>760223110191</t>
  </si>
  <si>
    <t>muhagus2707@gmail.com</t>
  </si>
  <si>
    <t>- Calon mitra baru
- D3
- Tidak ada hubungan K/L
- HP android
- Kendaraan aman
- ada laptop bisa komputer</t>
  </si>
  <si>
    <t>Sitti Haisyura</t>
  </si>
  <si>
    <t>Jalan Manunggal Lingkungan Galung Utara RT 001/ RW 001</t>
  </si>
  <si>
    <t>POLEWALI MANDAR, 25 Agustus 2004 (21)</t>
  </si>
  <si>
    <t>+62 081-3564-78734</t>
  </si>
  <si>
    <t>sittihaisyura25@gmail.com</t>
  </si>
  <si>
    <t>belum upload ktp ijazah
- Calon mitra baru
- SMA (?)
- Tidak ada hubungan K/L
- Kendaraan aman
- ada laptop ada komputer</t>
  </si>
  <si>
    <t>Nining Andayani Salman</t>
  </si>
  <si>
    <t xml:space="preserve">Jln k.h. adam saleppa </t>
  </si>
  <si>
    <t>POLEWALI MANDAR, 15 Oktober 2000 (25)</t>
  </si>
  <si>
    <t>+62 838-9939-8108</t>
  </si>
  <si>
    <t>niningandayanij2@gmail.com</t>
  </si>
  <si>
    <t>belum upload ktp ijazah
- Calon mitra baru
- S1 (?)
- Tidak ada hubungan K/L
- HP android
- Kendaraan aman
- ada laptop ada komputer</t>
  </si>
  <si>
    <t>Widya Putri Wahyuni</t>
  </si>
  <si>
    <t>Battayang</t>
  </si>
  <si>
    <t>POLEWALI MANDAR, 19 April 2012 (13)</t>
  </si>
  <si>
    <t>+62 823-4738-5055</t>
  </si>
  <si>
    <t>760122030038</t>
  </si>
  <si>
    <t>widyaputriwahyuni28@gmail.com</t>
  </si>
  <si>
    <t>- Foto tidak Sesuai
administrasi lengkap
- Pernah mengikuti kegiatan BPS (Ecommerce, KUMKM, Regsosek, SP, Sakernas, Seruti, Susenas, ST, Supas, Updating EA)
- S1
- Honorer di SPNF SKB
- HP android
- Kendaraan aman
- ada laptop ada komputer</t>
  </si>
  <si>
    <t>Sukryade</t>
  </si>
  <si>
    <t>Passarang selatan, kelurahan totoli, kec.banggae</t>
  </si>
  <si>
    <t>POLEWALI MANDAR, 13 Mei 1991 (34)</t>
  </si>
  <si>
    <t>+62 852-4265-9671</t>
  </si>
  <si>
    <t>Adhedhe475@gmail.com</t>
  </si>
  <si>
    <t>minus foto, administrasi lainnya lengkap
- Calon mitra baru
- SMA
- Tidak ada hubungan K/L
- HP android
- Kendaraan aman
- Tidak ada laptop tapi ada komputer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</si>
</sst>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charset val="1"/>
      <scheme val="minor"/>
    </font>
    <font>
      <b/>
      <sz val="11"/>
      <color theme="1"/>
      <name val="Calibri"/>
      <family val="2"/>
    </font>
    <font>
      <b/>
      <sz val="10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5" fillId="2" borderId="0" xfId="0" applyFont="1" applyFill="1"/>
    <xf numFmtId="0" fontId="5" fillId="2" borderId="0" xfId="0" applyFont="1" applyFill="1" applyAlignment="1">
      <alignment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28497-9460-DB4F-BC2C-8099C70EB27A}">
  <dimension ref="A1:T87"/>
  <sheetViews>
    <sheetView tabSelected="1" topLeftCell="F1" workbookViewId="0">
      <selection activeCell="T7" sqref="T7"/>
    </sheetView>
  </sheetViews>
  <sheetFormatPr baseColWidth="10" defaultRowHeight="16" x14ac:dyDescent="0.2"/>
  <sheetData>
    <row r="1" spans="1:20" ht="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4" t="s">
        <v>18</v>
      </c>
      <c r="T1" s="5" t="s">
        <v>19</v>
      </c>
    </row>
    <row r="2" spans="1:20" ht="32" x14ac:dyDescent="0.2">
      <c r="A2" s="6" t="s">
        <v>20</v>
      </c>
      <c r="B2" s="6"/>
      <c r="C2" s="6" t="s">
        <v>21</v>
      </c>
      <c r="D2" s="6" t="s">
        <v>22</v>
      </c>
      <c r="E2" s="6" t="s">
        <v>23</v>
      </c>
      <c r="F2" s="6" t="s">
        <v>24</v>
      </c>
      <c r="G2" s="6" t="s">
        <v>25</v>
      </c>
      <c r="H2" s="6" t="s">
        <v>26</v>
      </c>
      <c r="I2" s="6" t="s">
        <v>27</v>
      </c>
      <c r="J2" s="6" t="s">
        <v>28</v>
      </c>
      <c r="K2" s="6" t="s">
        <v>29</v>
      </c>
      <c r="L2" s="6" t="s">
        <v>30</v>
      </c>
      <c r="M2" s="7" t="s">
        <v>31</v>
      </c>
      <c r="N2" s="7"/>
      <c r="O2" s="6" t="s">
        <v>32</v>
      </c>
      <c r="P2" s="6" t="s">
        <v>33</v>
      </c>
      <c r="Q2" s="6" t="s">
        <v>34</v>
      </c>
      <c r="R2" s="8" t="s">
        <v>35</v>
      </c>
      <c r="S2" s="9"/>
      <c r="T2" s="10" t="str">
        <f ca="1">IFERROR(__xludf.DUMMYFUNCTION("REGEXREPLACE(REGEXREPLACE(O2, ""[^0-9]"", """"), ""^620"", ""62"")"),"6285342552960")</f>
        <v>6285342552960</v>
      </c>
    </row>
    <row r="3" spans="1:20" ht="60" x14ac:dyDescent="0.2">
      <c r="A3" s="6" t="s">
        <v>36</v>
      </c>
      <c r="B3" s="6"/>
      <c r="C3" s="6" t="s">
        <v>21</v>
      </c>
      <c r="D3" s="6" t="s">
        <v>22</v>
      </c>
      <c r="E3" s="6" t="s">
        <v>37</v>
      </c>
      <c r="F3" s="6" t="s">
        <v>24</v>
      </c>
      <c r="G3" s="6" t="s">
        <v>25</v>
      </c>
      <c r="H3" s="6" t="s">
        <v>26</v>
      </c>
      <c r="I3" s="6" t="s">
        <v>38</v>
      </c>
      <c r="J3" s="6" t="s">
        <v>39</v>
      </c>
      <c r="K3" s="6" t="s">
        <v>40</v>
      </c>
      <c r="L3" s="6" t="s">
        <v>30</v>
      </c>
      <c r="M3" s="7" t="s">
        <v>31</v>
      </c>
      <c r="N3" s="7"/>
      <c r="O3" s="6" t="s">
        <v>41</v>
      </c>
      <c r="P3" s="6"/>
      <c r="Q3" s="6" t="s">
        <v>42</v>
      </c>
      <c r="R3" s="8" t="s">
        <v>43</v>
      </c>
      <c r="S3" s="9" t="s">
        <v>44</v>
      </c>
      <c r="T3" s="10" t="str">
        <f ca="1">IFERROR(__xludf.DUMMYFUNCTION("REGEXREPLACE(REGEXREPLACE(O3, ""[^0-9]"", """"), ""^620"", ""62"")"),"6285234461860")</f>
        <v>6285234461860</v>
      </c>
    </row>
    <row r="4" spans="1:20" ht="48" x14ac:dyDescent="0.2">
      <c r="A4" s="6" t="s">
        <v>45</v>
      </c>
      <c r="B4" s="6"/>
      <c r="C4" s="6" t="s">
        <v>21</v>
      </c>
      <c r="D4" s="6" t="s">
        <v>22</v>
      </c>
      <c r="E4" s="6" t="s">
        <v>46</v>
      </c>
      <c r="F4" s="6" t="s">
        <v>24</v>
      </c>
      <c r="G4" s="6" t="s">
        <v>25</v>
      </c>
      <c r="H4" s="6" t="s">
        <v>26</v>
      </c>
      <c r="I4" s="6" t="s">
        <v>47</v>
      </c>
      <c r="J4" s="6" t="s">
        <v>48</v>
      </c>
      <c r="K4" s="6" t="s">
        <v>29</v>
      </c>
      <c r="L4" s="6" t="s">
        <v>49</v>
      </c>
      <c r="M4" s="7" t="s">
        <v>50</v>
      </c>
      <c r="N4" s="7"/>
      <c r="O4" s="6" t="s">
        <v>51</v>
      </c>
      <c r="P4" s="6" t="s">
        <v>52</v>
      </c>
      <c r="Q4" s="6" t="s">
        <v>53</v>
      </c>
      <c r="R4" s="8" t="s">
        <v>35</v>
      </c>
      <c r="S4" s="9"/>
      <c r="T4" s="10" t="str">
        <f ca="1">IFERROR(__xludf.DUMMYFUNCTION("REGEXREPLACE(REGEXREPLACE(O4, ""[^0-9]"", """"), ""^620"", ""62"")"),"6282399306906")</f>
        <v>6282399306906</v>
      </c>
    </row>
    <row r="5" spans="1:20" x14ac:dyDescent="0.2">
      <c r="A5" s="6" t="s">
        <v>54</v>
      </c>
      <c r="B5" s="6"/>
      <c r="C5" s="6" t="s">
        <v>21</v>
      </c>
      <c r="D5" s="6" t="s">
        <v>22</v>
      </c>
      <c r="E5" s="6" t="s">
        <v>55</v>
      </c>
      <c r="F5" s="6" t="s">
        <v>24</v>
      </c>
      <c r="G5" s="6" t="s">
        <v>25</v>
      </c>
      <c r="H5" s="6" t="s">
        <v>26</v>
      </c>
      <c r="I5" s="6" t="s">
        <v>47</v>
      </c>
      <c r="J5" s="6" t="s">
        <v>56</v>
      </c>
      <c r="K5" s="6" t="s">
        <v>29</v>
      </c>
      <c r="L5" s="6" t="s">
        <v>49</v>
      </c>
      <c r="M5" s="7" t="s">
        <v>57</v>
      </c>
      <c r="N5" s="7" t="s">
        <v>58</v>
      </c>
      <c r="O5" s="6" t="s">
        <v>59</v>
      </c>
      <c r="P5" s="6" t="s">
        <v>60</v>
      </c>
      <c r="Q5" s="6" t="s">
        <v>61</v>
      </c>
      <c r="R5" s="8" t="s">
        <v>35</v>
      </c>
      <c r="S5" s="9"/>
      <c r="T5" s="10" t="str">
        <f ca="1">IFERROR(__xludf.DUMMYFUNCTION("REGEXREPLACE(REGEXREPLACE(O5, ""[^0-9]"", """"), ""^620"", ""62"")"),"6282393141977")</f>
        <v>6282393141977</v>
      </c>
    </row>
    <row r="6" spans="1:20" ht="48" x14ac:dyDescent="0.2">
      <c r="A6" s="6" t="s">
        <v>62</v>
      </c>
      <c r="B6" s="6"/>
      <c r="C6" s="6" t="s">
        <v>21</v>
      </c>
      <c r="D6" s="6" t="s">
        <v>22</v>
      </c>
      <c r="E6" s="6" t="s">
        <v>63</v>
      </c>
      <c r="F6" s="6" t="s">
        <v>24</v>
      </c>
      <c r="G6" s="6" t="s">
        <v>25</v>
      </c>
      <c r="H6" s="6" t="s">
        <v>26</v>
      </c>
      <c r="I6" s="6" t="s">
        <v>64</v>
      </c>
      <c r="J6" s="6" t="s">
        <v>65</v>
      </c>
      <c r="K6" s="6" t="s">
        <v>29</v>
      </c>
      <c r="L6" s="6" t="s">
        <v>66</v>
      </c>
      <c r="M6" s="7" t="s">
        <v>67</v>
      </c>
      <c r="N6" s="7"/>
      <c r="O6" s="6" t="s">
        <v>68</v>
      </c>
      <c r="P6" s="6" t="s">
        <v>69</v>
      </c>
      <c r="Q6" s="6" t="s">
        <v>70</v>
      </c>
      <c r="R6" s="8" t="s">
        <v>35</v>
      </c>
      <c r="S6" s="9"/>
      <c r="T6" s="10" t="str">
        <f ca="1">IFERROR(__xludf.DUMMYFUNCTION("REGEXREPLACE(REGEXREPLACE(O6, ""[^0-9]"", """"), ""^620"", ""62"")"),"6282188673868")</f>
        <v>6282188673868</v>
      </c>
    </row>
    <row r="7" spans="1:20" ht="96" x14ac:dyDescent="0.2">
      <c r="A7" s="6" t="s">
        <v>71</v>
      </c>
      <c r="B7" s="6"/>
      <c r="C7" s="6" t="s">
        <v>21</v>
      </c>
      <c r="D7" s="6" t="s">
        <v>72</v>
      </c>
      <c r="E7" s="6" t="s">
        <v>73</v>
      </c>
      <c r="F7" s="6" t="s">
        <v>24</v>
      </c>
      <c r="G7" s="6" t="s">
        <v>25</v>
      </c>
      <c r="H7" s="6" t="s">
        <v>26</v>
      </c>
      <c r="I7" s="6" t="s">
        <v>74</v>
      </c>
      <c r="J7" s="6" t="s">
        <v>75</v>
      </c>
      <c r="K7" s="6" t="s">
        <v>40</v>
      </c>
      <c r="L7" s="6" t="s">
        <v>66</v>
      </c>
      <c r="M7" s="7" t="s">
        <v>57</v>
      </c>
      <c r="N7" s="7" t="s">
        <v>76</v>
      </c>
      <c r="O7" s="6" t="s">
        <v>77</v>
      </c>
      <c r="P7" s="6"/>
      <c r="Q7" s="6" t="s">
        <v>78</v>
      </c>
      <c r="R7" s="8" t="s">
        <v>43</v>
      </c>
      <c r="S7" s="9" t="s">
        <v>79</v>
      </c>
      <c r="T7" s="10" t="str">
        <f ca="1">IFERROR(__xludf.DUMMYFUNCTION("REGEXREPLACE(REGEXREPLACE(O7, ""[^0-9]"", """"), ""^620"", ""62"")"),"6282246198823")</f>
        <v>6282246198823</v>
      </c>
    </row>
    <row r="8" spans="1:20" ht="105" x14ac:dyDescent="0.2">
      <c r="A8" s="6" t="s">
        <v>80</v>
      </c>
      <c r="B8" s="6"/>
      <c r="C8" s="6" t="s">
        <v>21</v>
      </c>
      <c r="D8" s="6" t="s">
        <v>72</v>
      </c>
      <c r="E8" s="6" t="s">
        <v>81</v>
      </c>
      <c r="F8" s="6" t="s">
        <v>24</v>
      </c>
      <c r="G8" s="6" t="s">
        <v>25</v>
      </c>
      <c r="H8" s="6" t="s">
        <v>26</v>
      </c>
      <c r="I8" s="6" t="s">
        <v>74</v>
      </c>
      <c r="J8" s="6" t="s">
        <v>82</v>
      </c>
      <c r="K8" s="6" t="s">
        <v>40</v>
      </c>
      <c r="L8" s="6" t="s">
        <v>66</v>
      </c>
      <c r="M8" s="7" t="s">
        <v>83</v>
      </c>
      <c r="N8" s="7"/>
      <c r="O8" s="6" t="s">
        <v>84</v>
      </c>
      <c r="P8" s="6"/>
      <c r="Q8" s="6" t="s">
        <v>85</v>
      </c>
      <c r="R8" s="8" t="s">
        <v>43</v>
      </c>
      <c r="S8" s="9" t="s">
        <v>86</v>
      </c>
      <c r="T8" s="10" t="str">
        <f ca="1">IFERROR(__xludf.DUMMYFUNCTION("REGEXREPLACE(REGEXREPLACE(O8, ""[^0-9]"", """"), ""^620"", ""62"")"),"6282292906664")</f>
        <v>6282292906664</v>
      </c>
    </row>
    <row r="9" spans="1:20" x14ac:dyDescent="0.2">
      <c r="A9" s="6" t="s">
        <v>87</v>
      </c>
      <c r="B9" s="6"/>
      <c r="C9" s="6" t="s">
        <v>21</v>
      </c>
      <c r="D9" s="6" t="s">
        <v>88</v>
      </c>
      <c r="E9" s="6" t="s">
        <v>89</v>
      </c>
      <c r="F9" s="6" t="s">
        <v>24</v>
      </c>
      <c r="G9" s="6" t="s">
        <v>25</v>
      </c>
      <c r="H9" s="6" t="s">
        <v>26</v>
      </c>
      <c r="I9" s="6" t="s">
        <v>74</v>
      </c>
      <c r="J9" s="6" t="s">
        <v>90</v>
      </c>
      <c r="K9" s="6" t="s">
        <v>40</v>
      </c>
      <c r="L9" s="6" t="s">
        <v>30</v>
      </c>
      <c r="M9" s="7" t="s">
        <v>83</v>
      </c>
      <c r="N9" s="7"/>
      <c r="O9" s="6" t="s">
        <v>91</v>
      </c>
      <c r="P9" s="6" t="s">
        <v>92</v>
      </c>
      <c r="Q9" s="6" t="s">
        <v>93</v>
      </c>
      <c r="R9" s="8" t="s">
        <v>35</v>
      </c>
      <c r="S9" s="9"/>
      <c r="T9" s="10" t="str">
        <f ca="1">IFERROR(__xludf.DUMMYFUNCTION("REGEXREPLACE(REGEXREPLACE(O9, ""[^0-9]"", """"), ""^620"", ""62"")"),"6285298973105")</f>
        <v>6285298973105</v>
      </c>
    </row>
    <row r="10" spans="1:20" ht="105" x14ac:dyDescent="0.2">
      <c r="A10" s="6" t="s">
        <v>94</v>
      </c>
      <c r="B10" s="6"/>
      <c r="C10" s="6" t="s">
        <v>21</v>
      </c>
      <c r="D10" s="6" t="s">
        <v>88</v>
      </c>
      <c r="E10" s="6" t="s">
        <v>95</v>
      </c>
      <c r="F10" s="6" t="s">
        <v>24</v>
      </c>
      <c r="G10" s="6" t="s">
        <v>25</v>
      </c>
      <c r="H10" s="6" t="s">
        <v>26</v>
      </c>
      <c r="I10" s="6" t="s">
        <v>27</v>
      </c>
      <c r="J10" s="6" t="s">
        <v>96</v>
      </c>
      <c r="K10" s="6" t="s">
        <v>29</v>
      </c>
      <c r="L10" s="6" t="s">
        <v>66</v>
      </c>
      <c r="M10" s="7" t="s">
        <v>57</v>
      </c>
      <c r="N10" s="7" t="s">
        <v>97</v>
      </c>
      <c r="O10" s="6" t="s">
        <v>98</v>
      </c>
      <c r="P10" s="6" t="s">
        <v>99</v>
      </c>
      <c r="Q10" s="6" t="s">
        <v>100</v>
      </c>
      <c r="R10" s="8" t="s">
        <v>43</v>
      </c>
      <c r="S10" s="9" t="s">
        <v>101</v>
      </c>
      <c r="T10" s="10" t="str">
        <f ca="1">IFERROR(__xludf.DUMMYFUNCTION("REGEXREPLACE(REGEXREPLACE(O10, ""[^0-9]"", """"), ""^620"", ""62"")"),"6285340405558")</f>
        <v>6285340405558</v>
      </c>
    </row>
    <row r="11" spans="1:20" ht="75" x14ac:dyDescent="0.2">
      <c r="A11" s="6" t="s">
        <v>102</v>
      </c>
      <c r="B11" s="6"/>
      <c r="C11" s="6" t="s">
        <v>21</v>
      </c>
      <c r="D11" s="6" t="s">
        <v>88</v>
      </c>
      <c r="E11" s="6" t="s">
        <v>103</v>
      </c>
      <c r="F11" s="6" t="s">
        <v>24</v>
      </c>
      <c r="G11" s="6" t="s">
        <v>25</v>
      </c>
      <c r="H11" s="6" t="s">
        <v>26</v>
      </c>
      <c r="I11" s="6" t="s">
        <v>104</v>
      </c>
      <c r="J11" s="6" t="s">
        <v>105</v>
      </c>
      <c r="K11" s="6" t="s">
        <v>29</v>
      </c>
      <c r="L11" s="6" t="s">
        <v>66</v>
      </c>
      <c r="M11" s="7" t="s">
        <v>57</v>
      </c>
      <c r="N11" s="7" t="s">
        <v>106</v>
      </c>
      <c r="O11" s="6" t="s">
        <v>107</v>
      </c>
      <c r="P11" s="6"/>
      <c r="Q11" s="6" t="s">
        <v>108</v>
      </c>
      <c r="R11" s="8" t="s">
        <v>43</v>
      </c>
      <c r="S11" s="9" t="s">
        <v>109</v>
      </c>
      <c r="T11" s="10" t="str">
        <f ca="1">IFERROR(__xludf.DUMMYFUNCTION("REGEXREPLACE(REGEXREPLACE(O11, ""[^0-9]"", """"), ""^620"", ""62"")"),"6283111627850")</f>
        <v>6283111627850</v>
      </c>
    </row>
    <row r="12" spans="1:20" ht="30" x14ac:dyDescent="0.2">
      <c r="A12" s="6" t="s">
        <v>110</v>
      </c>
      <c r="B12" s="6"/>
      <c r="C12" s="6" t="s">
        <v>21</v>
      </c>
      <c r="D12" s="6" t="s">
        <v>88</v>
      </c>
      <c r="E12" s="6" t="s">
        <v>111</v>
      </c>
      <c r="F12" s="6" t="s">
        <v>24</v>
      </c>
      <c r="G12" s="6" t="s">
        <v>25</v>
      </c>
      <c r="H12" s="6" t="s">
        <v>26</v>
      </c>
      <c r="I12" s="6" t="s">
        <v>38</v>
      </c>
      <c r="J12" s="6" t="s">
        <v>112</v>
      </c>
      <c r="K12" s="6" t="s">
        <v>29</v>
      </c>
      <c r="L12" s="6" t="s">
        <v>30</v>
      </c>
      <c r="M12" s="7" t="s">
        <v>83</v>
      </c>
      <c r="N12" s="7"/>
      <c r="O12" s="6" t="s">
        <v>113</v>
      </c>
      <c r="P12" s="6"/>
      <c r="Q12" s="6" t="s">
        <v>114</v>
      </c>
      <c r="R12" s="8" t="s">
        <v>43</v>
      </c>
      <c r="S12" s="9" t="s">
        <v>115</v>
      </c>
      <c r="T12" s="10" t="str">
        <f ca="1">IFERROR(__xludf.DUMMYFUNCTION("REGEXREPLACE(REGEXREPLACE(O12, ""[^0-9]"", """"), ""^620"", ""62"")"),"6281243618993")</f>
        <v>6281243618993</v>
      </c>
    </row>
    <row r="13" spans="1:20" ht="48" x14ac:dyDescent="0.2">
      <c r="A13" s="6" t="s">
        <v>116</v>
      </c>
      <c r="B13" s="6"/>
      <c r="C13" s="6" t="s">
        <v>21</v>
      </c>
      <c r="D13" s="6" t="s">
        <v>88</v>
      </c>
      <c r="E13" s="6" t="s">
        <v>117</v>
      </c>
      <c r="F13" s="6" t="s">
        <v>24</v>
      </c>
      <c r="G13" s="6" t="s">
        <v>25</v>
      </c>
      <c r="H13" s="6" t="s">
        <v>26</v>
      </c>
      <c r="I13" s="6" t="s">
        <v>118</v>
      </c>
      <c r="J13" s="6" t="s">
        <v>119</v>
      </c>
      <c r="K13" s="6" t="s">
        <v>29</v>
      </c>
      <c r="L13" s="6" t="s">
        <v>66</v>
      </c>
      <c r="M13" s="7" t="s">
        <v>67</v>
      </c>
      <c r="N13" s="7"/>
      <c r="O13" s="6" t="s">
        <v>120</v>
      </c>
      <c r="P13" s="6" t="s">
        <v>121</v>
      </c>
      <c r="Q13" s="6" t="s">
        <v>122</v>
      </c>
      <c r="R13" s="8" t="s">
        <v>35</v>
      </c>
      <c r="S13" s="9"/>
      <c r="T13" s="10" t="str">
        <f ca="1">IFERROR(__xludf.DUMMYFUNCTION("REGEXREPLACE(REGEXREPLACE(O13, ""[^0-9]"", """"), ""^620"", ""62"")"),"6281243045956")</f>
        <v>6281243045956</v>
      </c>
    </row>
    <row r="14" spans="1:20" ht="75" x14ac:dyDescent="0.2">
      <c r="A14" s="6" t="s">
        <v>123</v>
      </c>
      <c r="B14" s="6"/>
      <c r="C14" s="6" t="s">
        <v>21</v>
      </c>
      <c r="D14" s="6" t="s">
        <v>88</v>
      </c>
      <c r="E14" s="6" t="s">
        <v>124</v>
      </c>
      <c r="F14" s="6" t="s">
        <v>24</v>
      </c>
      <c r="G14" s="6" t="s">
        <v>25</v>
      </c>
      <c r="H14" s="6" t="s">
        <v>26</v>
      </c>
      <c r="I14" s="6" t="s">
        <v>74</v>
      </c>
      <c r="J14" s="6" t="s">
        <v>125</v>
      </c>
      <c r="K14" s="6" t="s">
        <v>40</v>
      </c>
      <c r="L14" s="6" t="s">
        <v>66</v>
      </c>
      <c r="M14" s="7" t="s">
        <v>50</v>
      </c>
      <c r="N14" s="7"/>
      <c r="O14" s="6" t="s">
        <v>126</v>
      </c>
      <c r="P14" s="6"/>
      <c r="Q14" s="6" t="s">
        <v>127</v>
      </c>
      <c r="R14" s="8" t="s">
        <v>43</v>
      </c>
      <c r="S14" s="9" t="s">
        <v>128</v>
      </c>
      <c r="T14" s="10" t="str">
        <f ca="1">IFERROR(__xludf.DUMMYFUNCTION("REGEXREPLACE(REGEXREPLACE(O14, ""[^0-9]"", """"), ""^620"", ""62"")"),"6285333507275")</f>
        <v>6285333507275</v>
      </c>
    </row>
    <row r="15" spans="1:20" ht="75" x14ac:dyDescent="0.2">
      <c r="A15" s="6" t="s">
        <v>129</v>
      </c>
      <c r="B15" s="6"/>
      <c r="C15" s="6" t="s">
        <v>21</v>
      </c>
      <c r="D15" s="6" t="s">
        <v>22</v>
      </c>
      <c r="E15" s="6" t="s">
        <v>130</v>
      </c>
      <c r="F15" s="6" t="s">
        <v>24</v>
      </c>
      <c r="G15" s="6" t="s">
        <v>25</v>
      </c>
      <c r="H15" s="6" t="s">
        <v>26</v>
      </c>
      <c r="I15" s="6" t="s">
        <v>74</v>
      </c>
      <c r="J15" s="6" t="s">
        <v>131</v>
      </c>
      <c r="K15" s="6" t="s">
        <v>40</v>
      </c>
      <c r="L15" s="6" t="s">
        <v>30</v>
      </c>
      <c r="M15" s="7" t="s">
        <v>31</v>
      </c>
      <c r="N15" s="7"/>
      <c r="O15" s="6" t="s">
        <v>132</v>
      </c>
      <c r="P15" s="6"/>
      <c r="Q15" s="6" t="s">
        <v>133</v>
      </c>
      <c r="R15" s="8" t="s">
        <v>43</v>
      </c>
      <c r="S15" s="9" t="s">
        <v>128</v>
      </c>
      <c r="T15" s="10" t="str">
        <f ca="1">IFERROR(__xludf.DUMMYFUNCTION("REGEXREPLACE(REGEXREPLACE(O15, ""[^0-9]"", """"), ""^620"", ""62"")"),"6285341446318")</f>
        <v>6285341446318</v>
      </c>
    </row>
    <row r="16" spans="1:20" ht="75" x14ac:dyDescent="0.2">
      <c r="A16" s="6" t="s">
        <v>134</v>
      </c>
      <c r="B16" s="6"/>
      <c r="C16" s="6" t="s">
        <v>21</v>
      </c>
      <c r="D16" s="6" t="s">
        <v>22</v>
      </c>
      <c r="E16" s="6" t="s">
        <v>135</v>
      </c>
      <c r="F16" s="6" t="s">
        <v>24</v>
      </c>
      <c r="G16" s="6" t="s">
        <v>25</v>
      </c>
      <c r="H16" s="6" t="s">
        <v>26</v>
      </c>
      <c r="I16" s="6" t="s">
        <v>104</v>
      </c>
      <c r="J16" s="6" t="s">
        <v>136</v>
      </c>
      <c r="K16" s="6" t="s">
        <v>29</v>
      </c>
      <c r="L16" s="6" t="s">
        <v>30</v>
      </c>
      <c r="M16" s="7" t="s">
        <v>31</v>
      </c>
      <c r="N16" s="7"/>
      <c r="O16" s="6" t="s">
        <v>137</v>
      </c>
      <c r="P16" s="6"/>
      <c r="Q16" s="6" t="s">
        <v>138</v>
      </c>
      <c r="R16" s="8" t="s">
        <v>43</v>
      </c>
      <c r="S16" s="9" t="s">
        <v>128</v>
      </c>
      <c r="T16" s="10" t="str">
        <f ca="1">IFERROR(__xludf.DUMMYFUNCTION("REGEXREPLACE(REGEXREPLACE(O16, ""[^0-9]"", """"), ""^620"", ""62"")"),"6287888462639")</f>
        <v>6287888462639</v>
      </c>
    </row>
    <row r="17" spans="1:20" ht="75" x14ac:dyDescent="0.2">
      <c r="A17" s="6" t="s">
        <v>139</v>
      </c>
      <c r="B17" s="6"/>
      <c r="C17" s="6" t="s">
        <v>21</v>
      </c>
      <c r="D17" s="6" t="s">
        <v>22</v>
      </c>
      <c r="E17" s="6" t="s">
        <v>140</v>
      </c>
      <c r="F17" s="6" t="s">
        <v>24</v>
      </c>
      <c r="G17" s="6" t="s">
        <v>25</v>
      </c>
      <c r="H17" s="6" t="s">
        <v>26</v>
      </c>
      <c r="I17" s="6" t="s">
        <v>118</v>
      </c>
      <c r="J17" s="6" t="s">
        <v>141</v>
      </c>
      <c r="K17" s="6" t="s">
        <v>40</v>
      </c>
      <c r="L17" s="6" t="s">
        <v>66</v>
      </c>
      <c r="M17" s="7" t="s">
        <v>57</v>
      </c>
      <c r="N17" s="7" t="s">
        <v>142</v>
      </c>
      <c r="O17" s="6" t="s">
        <v>143</v>
      </c>
      <c r="P17" s="6"/>
      <c r="Q17" s="6" t="s">
        <v>144</v>
      </c>
      <c r="R17" s="8" t="s">
        <v>43</v>
      </c>
      <c r="S17" s="9" t="s">
        <v>128</v>
      </c>
      <c r="T17" s="10" t="str">
        <f ca="1">IFERROR(__xludf.DUMMYFUNCTION("REGEXREPLACE(REGEXREPLACE(O17, ""[^0-9]"", """"), ""^620"", ""62"")"),"6282214351692")</f>
        <v>6282214351692</v>
      </c>
    </row>
    <row r="18" spans="1:20" x14ac:dyDescent="0.2">
      <c r="A18" s="6" t="s">
        <v>145</v>
      </c>
      <c r="B18" s="6"/>
      <c r="C18" s="6" t="s">
        <v>21</v>
      </c>
      <c r="D18" s="6" t="s">
        <v>22</v>
      </c>
      <c r="E18" s="6" t="s">
        <v>146</v>
      </c>
      <c r="F18" s="6" t="s">
        <v>24</v>
      </c>
      <c r="G18" s="6" t="s">
        <v>25</v>
      </c>
      <c r="H18" s="6" t="s">
        <v>26</v>
      </c>
      <c r="I18" s="6" t="s">
        <v>38</v>
      </c>
      <c r="J18" s="6" t="s">
        <v>147</v>
      </c>
      <c r="K18" s="6" t="s">
        <v>29</v>
      </c>
      <c r="L18" s="6" t="s">
        <v>148</v>
      </c>
      <c r="M18" s="7" t="s">
        <v>83</v>
      </c>
      <c r="N18" s="7"/>
      <c r="O18" s="6" t="s">
        <v>149</v>
      </c>
      <c r="P18" s="6" t="s">
        <v>150</v>
      </c>
      <c r="Q18" s="6" t="s">
        <v>151</v>
      </c>
      <c r="R18" s="8" t="s">
        <v>35</v>
      </c>
      <c r="S18" s="9"/>
      <c r="T18" s="10" t="str">
        <f ca="1">IFERROR(__xludf.DUMMYFUNCTION("REGEXREPLACE(REGEXREPLACE(O18, ""[^0-9]"", """"), ""^620"", ""62"")"),"6282330373322")</f>
        <v>6282330373322</v>
      </c>
    </row>
    <row r="19" spans="1:20" ht="48" x14ac:dyDescent="0.2">
      <c r="A19" s="6" t="s">
        <v>152</v>
      </c>
      <c r="B19" s="6"/>
      <c r="C19" s="6" t="s">
        <v>21</v>
      </c>
      <c r="D19" s="6" t="s">
        <v>22</v>
      </c>
      <c r="E19" s="6" t="s">
        <v>153</v>
      </c>
      <c r="F19" s="6" t="s">
        <v>24</v>
      </c>
      <c r="G19" s="6" t="s">
        <v>25</v>
      </c>
      <c r="H19" s="6" t="s">
        <v>26</v>
      </c>
      <c r="I19" s="6" t="s">
        <v>118</v>
      </c>
      <c r="J19" s="6" t="s">
        <v>154</v>
      </c>
      <c r="K19" s="6" t="s">
        <v>40</v>
      </c>
      <c r="L19" s="6" t="s">
        <v>49</v>
      </c>
      <c r="M19" s="7" t="s">
        <v>57</v>
      </c>
      <c r="N19" s="7" t="s">
        <v>155</v>
      </c>
      <c r="O19" s="6" t="s">
        <v>156</v>
      </c>
      <c r="P19" s="6"/>
      <c r="Q19" s="6" t="s">
        <v>157</v>
      </c>
      <c r="R19" s="8" t="s">
        <v>43</v>
      </c>
      <c r="S19" s="9" t="s">
        <v>158</v>
      </c>
      <c r="T19" s="10" t="str">
        <f ca="1">IFERROR(__xludf.DUMMYFUNCTION("REGEXREPLACE(REGEXREPLACE(O19, ""[^0-9]"", """"), ""^620"", ""62"")"),"6285299779411")</f>
        <v>6285299779411</v>
      </c>
    </row>
    <row r="20" spans="1:20" ht="48" x14ac:dyDescent="0.2">
      <c r="A20" s="6" t="s">
        <v>159</v>
      </c>
      <c r="B20" s="6"/>
      <c r="C20" s="6" t="s">
        <v>21</v>
      </c>
      <c r="D20" s="6" t="s">
        <v>88</v>
      </c>
      <c r="E20" s="6" t="s">
        <v>160</v>
      </c>
      <c r="F20" s="6" t="s">
        <v>24</v>
      </c>
      <c r="G20" s="6" t="s">
        <v>25</v>
      </c>
      <c r="H20" s="6" t="s">
        <v>26</v>
      </c>
      <c r="I20" s="6" t="s">
        <v>74</v>
      </c>
      <c r="J20" s="6" t="s">
        <v>161</v>
      </c>
      <c r="K20" s="6" t="s">
        <v>29</v>
      </c>
      <c r="L20" s="6" t="s">
        <v>66</v>
      </c>
      <c r="M20" s="7" t="s">
        <v>67</v>
      </c>
      <c r="N20" s="7"/>
      <c r="O20" s="6" t="s">
        <v>162</v>
      </c>
      <c r="P20" s="6" t="s">
        <v>163</v>
      </c>
      <c r="Q20" s="6" t="s">
        <v>164</v>
      </c>
      <c r="R20" s="8" t="s">
        <v>43</v>
      </c>
      <c r="S20" s="9" t="s">
        <v>165</v>
      </c>
      <c r="T20" s="10" t="str">
        <f ca="1">IFERROR(__xludf.DUMMYFUNCTION("REGEXREPLACE(REGEXREPLACE(O20, ""[^0-9]"", """"), ""^620"", ""62"")"),"6282345843348")</f>
        <v>6282345843348</v>
      </c>
    </row>
    <row r="21" spans="1:20" ht="80" x14ac:dyDescent="0.2">
      <c r="A21" s="6" t="s">
        <v>166</v>
      </c>
      <c r="B21" s="6"/>
      <c r="C21" s="6" t="s">
        <v>21</v>
      </c>
      <c r="D21" s="6" t="s">
        <v>88</v>
      </c>
      <c r="E21" s="6" t="s">
        <v>167</v>
      </c>
      <c r="F21" s="6" t="s">
        <v>24</v>
      </c>
      <c r="G21" s="6" t="s">
        <v>25</v>
      </c>
      <c r="H21" s="6" t="s">
        <v>26</v>
      </c>
      <c r="I21" s="6" t="s">
        <v>74</v>
      </c>
      <c r="J21" s="6" t="s">
        <v>168</v>
      </c>
      <c r="K21" s="6" t="s">
        <v>29</v>
      </c>
      <c r="L21" s="6" t="s">
        <v>66</v>
      </c>
      <c r="M21" s="7" t="s">
        <v>169</v>
      </c>
      <c r="N21" s="7"/>
      <c r="O21" s="6" t="s">
        <v>170</v>
      </c>
      <c r="P21" s="6" t="s">
        <v>171</v>
      </c>
      <c r="Q21" s="6" t="s">
        <v>172</v>
      </c>
      <c r="R21" s="8" t="s">
        <v>35</v>
      </c>
      <c r="S21" s="9"/>
      <c r="T21" s="10" t="str">
        <f ca="1">IFERROR(__xludf.DUMMYFUNCTION("REGEXREPLACE(REGEXREPLACE(O21, ""[^0-9]"", """"), ""^620"", ""62"")"),"6281242105010")</f>
        <v>6281242105010</v>
      </c>
    </row>
    <row r="22" spans="1:20" ht="90" x14ac:dyDescent="0.2">
      <c r="A22" s="6" t="s">
        <v>173</v>
      </c>
      <c r="B22" s="6"/>
      <c r="C22" s="6" t="s">
        <v>21</v>
      </c>
      <c r="D22" s="6" t="s">
        <v>22</v>
      </c>
      <c r="E22" s="6" t="s">
        <v>174</v>
      </c>
      <c r="F22" s="6" t="s">
        <v>24</v>
      </c>
      <c r="G22" s="6" t="s">
        <v>25</v>
      </c>
      <c r="H22" s="6" t="s">
        <v>26</v>
      </c>
      <c r="I22" s="6" t="s">
        <v>74</v>
      </c>
      <c r="J22" s="6" t="s">
        <v>175</v>
      </c>
      <c r="K22" s="6" t="s">
        <v>29</v>
      </c>
      <c r="L22" s="6" t="s">
        <v>49</v>
      </c>
      <c r="M22" s="7" t="s">
        <v>57</v>
      </c>
      <c r="N22" s="7" t="s">
        <v>176</v>
      </c>
      <c r="O22" s="6" t="s">
        <v>177</v>
      </c>
      <c r="P22" s="6" t="s">
        <v>178</v>
      </c>
      <c r="Q22" s="6" t="s">
        <v>179</v>
      </c>
      <c r="R22" s="8" t="s">
        <v>43</v>
      </c>
      <c r="S22" s="9" t="s">
        <v>180</v>
      </c>
      <c r="T22" s="10" t="str">
        <f ca="1">IFERROR(__xludf.DUMMYFUNCTION("REGEXREPLACE(REGEXREPLACE(O22, ""[^0-9]"", """"), ""^620"", ""62"")"),"6282234678915")</f>
        <v>6282234678915</v>
      </c>
    </row>
    <row r="23" spans="1:20" ht="48" x14ac:dyDescent="0.2">
      <c r="A23" s="6" t="s">
        <v>181</v>
      </c>
      <c r="B23" s="6"/>
      <c r="C23" s="6" t="s">
        <v>21</v>
      </c>
      <c r="D23" s="6" t="s">
        <v>22</v>
      </c>
      <c r="E23" s="6" t="s">
        <v>182</v>
      </c>
      <c r="F23" s="6" t="s">
        <v>24</v>
      </c>
      <c r="G23" s="6" t="s">
        <v>25</v>
      </c>
      <c r="H23" s="6" t="s">
        <v>26</v>
      </c>
      <c r="I23" s="6" t="s">
        <v>64</v>
      </c>
      <c r="J23" s="6" t="s">
        <v>183</v>
      </c>
      <c r="K23" s="6" t="s">
        <v>29</v>
      </c>
      <c r="L23" s="6" t="s">
        <v>66</v>
      </c>
      <c r="M23" s="7" t="s">
        <v>67</v>
      </c>
      <c r="N23" s="7"/>
      <c r="O23" s="6" t="s">
        <v>184</v>
      </c>
      <c r="P23" s="6" t="s">
        <v>185</v>
      </c>
      <c r="Q23" s="6" t="s">
        <v>186</v>
      </c>
      <c r="R23" s="8" t="s">
        <v>43</v>
      </c>
      <c r="S23" s="9" t="s">
        <v>187</v>
      </c>
      <c r="T23" s="10" t="str">
        <f ca="1">IFERROR(__xludf.DUMMYFUNCTION("REGEXREPLACE(REGEXREPLACE(O23, ""[^0-9]"", """"), ""^620"", ""62"")"),"6285799937461")</f>
        <v>6285799937461</v>
      </c>
    </row>
    <row r="24" spans="1:20" ht="32" x14ac:dyDescent="0.2">
      <c r="A24" s="6" t="s">
        <v>188</v>
      </c>
      <c r="B24" s="6"/>
      <c r="C24" s="6" t="s">
        <v>21</v>
      </c>
      <c r="D24" s="6" t="s">
        <v>22</v>
      </c>
      <c r="E24" s="6" t="s">
        <v>189</v>
      </c>
      <c r="F24" s="6" t="s">
        <v>24</v>
      </c>
      <c r="G24" s="6" t="s">
        <v>25</v>
      </c>
      <c r="H24" s="6" t="s">
        <v>26</v>
      </c>
      <c r="I24" s="6" t="s">
        <v>118</v>
      </c>
      <c r="J24" s="6" t="s">
        <v>190</v>
      </c>
      <c r="K24" s="6" t="s">
        <v>40</v>
      </c>
      <c r="L24" s="6" t="s">
        <v>66</v>
      </c>
      <c r="M24" s="7" t="s">
        <v>57</v>
      </c>
      <c r="N24" s="7" t="s">
        <v>191</v>
      </c>
      <c r="O24" s="6" t="s">
        <v>192</v>
      </c>
      <c r="P24" s="6" t="s">
        <v>193</v>
      </c>
      <c r="Q24" s="6" t="s">
        <v>194</v>
      </c>
      <c r="R24" s="8" t="s">
        <v>35</v>
      </c>
      <c r="S24" s="9"/>
      <c r="T24" s="10" t="str">
        <f ca="1">IFERROR(__xludf.DUMMYFUNCTION("REGEXREPLACE(REGEXREPLACE(O24, ""[^0-9]"", """"), ""^620"", ""62"")"),"6285394683232")</f>
        <v>6285394683232</v>
      </c>
    </row>
    <row r="25" spans="1:20" ht="48" x14ac:dyDescent="0.2">
      <c r="A25" s="6" t="s">
        <v>195</v>
      </c>
      <c r="B25" s="6"/>
      <c r="C25" s="6" t="s">
        <v>21</v>
      </c>
      <c r="D25" s="6" t="s">
        <v>22</v>
      </c>
      <c r="E25" s="6" t="s">
        <v>196</v>
      </c>
      <c r="F25" s="6" t="s">
        <v>24</v>
      </c>
      <c r="G25" s="6" t="s">
        <v>25</v>
      </c>
      <c r="H25" s="6" t="s">
        <v>26</v>
      </c>
      <c r="I25" s="6" t="s">
        <v>74</v>
      </c>
      <c r="J25" s="6" t="s">
        <v>197</v>
      </c>
      <c r="K25" s="6" t="s">
        <v>29</v>
      </c>
      <c r="L25" s="6" t="s">
        <v>66</v>
      </c>
      <c r="M25" s="7" t="s">
        <v>67</v>
      </c>
      <c r="N25" s="7"/>
      <c r="O25" s="6" t="s">
        <v>198</v>
      </c>
      <c r="P25" s="6"/>
      <c r="Q25" s="6" t="s">
        <v>199</v>
      </c>
      <c r="R25" s="8" t="s">
        <v>43</v>
      </c>
      <c r="S25" s="9" t="s">
        <v>200</v>
      </c>
      <c r="T25" s="10" t="str">
        <f ca="1">IFERROR(__xludf.DUMMYFUNCTION("REGEXREPLACE(REGEXREPLACE(O25, ""[^0-9]"", """"), ""^620"", ""62"")"),"6282293626045")</f>
        <v>6282293626045</v>
      </c>
    </row>
    <row r="26" spans="1:20" ht="32" x14ac:dyDescent="0.2">
      <c r="A26" s="6" t="s">
        <v>201</v>
      </c>
      <c r="B26" s="6"/>
      <c r="C26" s="6" t="s">
        <v>21</v>
      </c>
      <c r="D26" s="6" t="s">
        <v>22</v>
      </c>
      <c r="E26" s="6" t="s">
        <v>202</v>
      </c>
      <c r="F26" s="6" t="s">
        <v>24</v>
      </c>
      <c r="G26" s="6" t="s">
        <v>25</v>
      </c>
      <c r="H26" s="6" t="s">
        <v>26</v>
      </c>
      <c r="I26" s="6" t="s">
        <v>27</v>
      </c>
      <c r="J26" s="6" t="s">
        <v>203</v>
      </c>
      <c r="K26" s="6" t="s">
        <v>40</v>
      </c>
      <c r="L26" s="6" t="s">
        <v>30</v>
      </c>
      <c r="M26" s="7" t="s">
        <v>31</v>
      </c>
      <c r="N26" s="7"/>
      <c r="O26" s="6" t="s">
        <v>204</v>
      </c>
      <c r="P26" s="6"/>
      <c r="Q26" s="6" t="s">
        <v>205</v>
      </c>
      <c r="R26" s="8"/>
      <c r="S26" s="9"/>
      <c r="T26" s="10" t="str">
        <f ca="1">IFERROR(__xludf.DUMMYFUNCTION("REGEXREPLACE(REGEXREPLACE(O26, ""[^0-9]"", """"), ""^620"", ""62"")"),"6282278467504")</f>
        <v>6282278467504</v>
      </c>
    </row>
    <row r="27" spans="1:20" x14ac:dyDescent="0.2">
      <c r="A27" s="6" t="s">
        <v>206</v>
      </c>
      <c r="B27" s="6"/>
      <c r="C27" s="6" t="s">
        <v>21</v>
      </c>
      <c r="D27" s="6" t="s">
        <v>22</v>
      </c>
      <c r="E27" s="6" t="s">
        <v>207</v>
      </c>
      <c r="F27" s="6" t="s">
        <v>24</v>
      </c>
      <c r="G27" s="6" t="s">
        <v>25</v>
      </c>
      <c r="H27" s="6" t="s">
        <v>26</v>
      </c>
      <c r="I27" s="6" t="s">
        <v>47</v>
      </c>
      <c r="J27" s="6" t="s">
        <v>208</v>
      </c>
      <c r="K27" s="6" t="s">
        <v>29</v>
      </c>
      <c r="L27" s="6" t="s">
        <v>30</v>
      </c>
      <c r="M27" s="7" t="s">
        <v>57</v>
      </c>
      <c r="N27" s="7" t="s">
        <v>83</v>
      </c>
      <c r="O27" s="6" t="s">
        <v>209</v>
      </c>
      <c r="P27" s="6"/>
      <c r="Q27" s="6" t="s">
        <v>210</v>
      </c>
      <c r="R27" s="8"/>
      <c r="S27" s="9"/>
      <c r="T27" s="10" t="str">
        <f ca="1">IFERROR(__xludf.DUMMYFUNCTION("REGEXREPLACE(REGEXREPLACE(O27, ""[^0-9]"", """"), ""^620"", ""62"")"),"6282131227423")</f>
        <v>6282131227423</v>
      </c>
    </row>
    <row r="28" spans="1:20" x14ac:dyDescent="0.2">
      <c r="A28" s="6" t="s">
        <v>211</v>
      </c>
      <c r="B28" s="6"/>
      <c r="C28" s="6" t="s">
        <v>21</v>
      </c>
      <c r="D28" s="6" t="s">
        <v>22</v>
      </c>
      <c r="E28" s="6" t="s">
        <v>212</v>
      </c>
      <c r="F28" s="6" t="s">
        <v>24</v>
      </c>
      <c r="G28" s="6" t="s">
        <v>25</v>
      </c>
      <c r="H28" s="6" t="s">
        <v>26</v>
      </c>
      <c r="I28" s="6" t="s">
        <v>38</v>
      </c>
      <c r="J28" s="6" t="s">
        <v>213</v>
      </c>
      <c r="K28" s="6" t="s">
        <v>40</v>
      </c>
      <c r="L28" s="6" t="s">
        <v>66</v>
      </c>
      <c r="M28" s="7" t="s">
        <v>83</v>
      </c>
      <c r="N28" s="7"/>
      <c r="O28" s="6" t="s">
        <v>214</v>
      </c>
      <c r="P28" s="6"/>
      <c r="Q28" s="6" t="s">
        <v>215</v>
      </c>
      <c r="R28" s="8"/>
      <c r="S28" s="9"/>
      <c r="T28" s="10" t="str">
        <f ca="1">IFERROR(__xludf.DUMMYFUNCTION("REGEXREPLACE(REGEXREPLACE(O28, ""[^0-9]"", """"), ""^620"", ""62"")"),"6282372755507")</f>
        <v>6282372755507</v>
      </c>
    </row>
    <row r="29" spans="1:20" x14ac:dyDescent="0.2">
      <c r="A29" s="6" t="s">
        <v>216</v>
      </c>
      <c r="B29" s="6"/>
      <c r="C29" s="6" t="s">
        <v>21</v>
      </c>
      <c r="D29" s="6" t="s">
        <v>22</v>
      </c>
      <c r="E29" s="6" t="s">
        <v>217</v>
      </c>
      <c r="F29" s="6" t="s">
        <v>24</v>
      </c>
      <c r="G29" s="6" t="s">
        <v>25</v>
      </c>
      <c r="H29" s="6" t="s">
        <v>26</v>
      </c>
      <c r="I29" s="6" t="s">
        <v>27</v>
      </c>
      <c r="J29" s="6" t="s">
        <v>218</v>
      </c>
      <c r="K29" s="6" t="s">
        <v>40</v>
      </c>
      <c r="L29" s="6" t="s">
        <v>30</v>
      </c>
      <c r="M29" s="7" t="s">
        <v>57</v>
      </c>
      <c r="N29" s="7" t="s">
        <v>219</v>
      </c>
      <c r="O29" s="6" t="s">
        <v>220</v>
      </c>
      <c r="P29" s="6"/>
      <c r="Q29" s="6" t="s">
        <v>221</v>
      </c>
      <c r="R29" s="8"/>
      <c r="S29" s="9"/>
      <c r="T29" s="10" t="str">
        <f ca="1">IFERROR(__xludf.DUMMYFUNCTION("REGEXREPLACE(REGEXREPLACE(O29, ""[^0-9]"", """"), ""^620"", ""62"")"),"62895333075744")</f>
        <v>62895333075744</v>
      </c>
    </row>
    <row r="30" spans="1:20" ht="32" x14ac:dyDescent="0.2">
      <c r="A30" s="6" t="s">
        <v>222</v>
      </c>
      <c r="B30" s="6"/>
      <c r="C30" s="6" t="s">
        <v>21</v>
      </c>
      <c r="D30" s="6" t="s">
        <v>22</v>
      </c>
      <c r="E30" s="6" t="s">
        <v>223</v>
      </c>
      <c r="F30" s="6" t="s">
        <v>24</v>
      </c>
      <c r="G30" s="6" t="s">
        <v>25</v>
      </c>
      <c r="H30" s="6" t="s">
        <v>26</v>
      </c>
      <c r="I30" s="6" t="s">
        <v>118</v>
      </c>
      <c r="J30" s="6" t="s">
        <v>224</v>
      </c>
      <c r="K30" s="6" t="s">
        <v>29</v>
      </c>
      <c r="L30" s="6" t="s">
        <v>30</v>
      </c>
      <c r="M30" s="7" t="s">
        <v>57</v>
      </c>
      <c r="N30" s="7" t="s">
        <v>225</v>
      </c>
      <c r="O30" s="6" t="s">
        <v>226</v>
      </c>
      <c r="P30" s="6"/>
      <c r="Q30" s="6" t="s">
        <v>227</v>
      </c>
      <c r="R30" s="8"/>
      <c r="S30" s="9"/>
      <c r="T30" s="10" t="str">
        <f ca="1">IFERROR(__xludf.DUMMYFUNCTION("REGEXREPLACE(REGEXREPLACE(O30, ""[^0-9]"", """"), ""^620"", ""62"")"),"6283899056907")</f>
        <v>6283899056907</v>
      </c>
    </row>
    <row r="31" spans="1:20" x14ac:dyDescent="0.2">
      <c r="A31" s="6" t="s">
        <v>228</v>
      </c>
      <c r="B31" s="6"/>
      <c r="C31" s="6" t="s">
        <v>21</v>
      </c>
      <c r="D31" s="6" t="s">
        <v>22</v>
      </c>
      <c r="E31" s="6" t="s">
        <v>229</v>
      </c>
      <c r="F31" s="6" t="s">
        <v>24</v>
      </c>
      <c r="G31" s="6" t="s">
        <v>25</v>
      </c>
      <c r="H31" s="6" t="s">
        <v>26</v>
      </c>
      <c r="I31" s="6" t="s">
        <v>27</v>
      </c>
      <c r="J31" s="6" t="s">
        <v>230</v>
      </c>
      <c r="K31" s="6" t="s">
        <v>40</v>
      </c>
      <c r="L31" s="6" t="s">
        <v>66</v>
      </c>
      <c r="M31" s="7" t="s">
        <v>83</v>
      </c>
      <c r="N31" s="7"/>
      <c r="O31" s="6" t="s">
        <v>231</v>
      </c>
      <c r="P31" s="6"/>
      <c r="Q31" s="6" t="s">
        <v>232</v>
      </c>
      <c r="R31" s="8"/>
      <c r="S31" s="9"/>
      <c r="T31" s="10" t="str">
        <f ca="1">IFERROR(__xludf.DUMMYFUNCTION("REGEXREPLACE(REGEXREPLACE(O31, ""[^0-9]"", """"), ""^620"", ""62"")"),"6282193593509")</f>
        <v>6282193593509</v>
      </c>
    </row>
    <row r="32" spans="1:20" x14ac:dyDescent="0.2">
      <c r="A32" s="6" t="s">
        <v>233</v>
      </c>
      <c r="B32" s="6"/>
      <c r="C32" s="6" t="s">
        <v>21</v>
      </c>
      <c r="D32" s="6" t="s">
        <v>22</v>
      </c>
      <c r="E32" s="6" t="s">
        <v>234</v>
      </c>
      <c r="F32" s="6" t="s">
        <v>24</v>
      </c>
      <c r="G32" s="6" t="s">
        <v>25</v>
      </c>
      <c r="H32" s="6" t="s">
        <v>26</v>
      </c>
      <c r="I32" s="6" t="s">
        <v>27</v>
      </c>
      <c r="J32" s="6" t="s">
        <v>235</v>
      </c>
      <c r="K32" s="6" t="s">
        <v>29</v>
      </c>
      <c r="L32" s="6" t="s">
        <v>66</v>
      </c>
      <c r="M32" s="7" t="s">
        <v>83</v>
      </c>
      <c r="N32" s="7"/>
      <c r="O32" s="6" t="s">
        <v>236</v>
      </c>
      <c r="P32" s="6"/>
      <c r="Q32" s="6" t="s">
        <v>237</v>
      </c>
      <c r="R32" s="8"/>
      <c r="S32" s="9"/>
      <c r="T32" s="10" t="str">
        <f ca="1">IFERROR(__xludf.DUMMYFUNCTION("REGEXREPLACE(REGEXREPLACE(O32, ""[^0-9]"", """"), ""^620"", ""62"")"),"6282346767504")</f>
        <v>6282346767504</v>
      </c>
    </row>
    <row r="33" spans="1:20" x14ac:dyDescent="0.2">
      <c r="A33" s="6" t="s">
        <v>238</v>
      </c>
      <c r="B33" s="6"/>
      <c r="C33" s="6" t="s">
        <v>21</v>
      </c>
      <c r="D33" s="6" t="s">
        <v>22</v>
      </c>
      <c r="E33" s="6" t="s">
        <v>239</v>
      </c>
      <c r="F33" s="6" t="s">
        <v>24</v>
      </c>
      <c r="G33" s="6" t="s">
        <v>25</v>
      </c>
      <c r="H33" s="6" t="s">
        <v>26</v>
      </c>
      <c r="I33" s="6" t="s">
        <v>47</v>
      </c>
      <c r="J33" s="6" t="s">
        <v>240</v>
      </c>
      <c r="K33" s="6" t="s">
        <v>40</v>
      </c>
      <c r="L33" s="6" t="s">
        <v>148</v>
      </c>
      <c r="M33" s="7" t="s">
        <v>83</v>
      </c>
      <c r="N33" s="7"/>
      <c r="O33" s="6" t="s">
        <v>241</v>
      </c>
      <c r="P33" s="6"/>
      <c r="Q33" s="6" t="s">
        <v>242</v>
      </c>
      <c r="R33" s="8"/>
      <c r="S33" s="9"/>
      <c r="T33" s="10" t="str">
        <f ca="1">IFERROR(__xludf.DUMMYFUNCTION("REGEXREPLACE(REGEXREPLACE(O33, ""[^0-9]"", """"), ""^620"", ""62"")"),"6285399776276")</f>
        <v>6285399776276</v>
      </c>
    </row>
    <row r="34" spans="1:20" x14ac:dyDescent="0.2">
      <c r="A34" s="6" t="s">
        <v>243</v>
      </c>
      <c r="B34" s="6"/>
      <c r="C34" s="6" t="s">
        <v>21</v>
      </c>
      <c r="D34" s="6" t="s">
        <v>22</v>
      </c>
      <c r="E34" s="6" t="s">
        <v>244</v>
      </c>
      <c r="F34" s="6" t="s">
        <v>24</v>
      </c>
      <c r="G34" s="6" t="s">
        <v>25</v>
      </c>
      <c r="H34" s="6" t="s">
        <v>26</v>
      </c>
      <c r="I34" s="6" t="s">
        <v>47</v>
      </c>
      <c r="J34" s="6" t="s">
        <v>245</v>
      </c>
      <c r="K34" s="6" t="s">
        <v>29</v>
      </c>
      <c r="L34" s="6" t="s">
        <v>66</v>
      </c>
      <c r="M34" s="7" t="s">
        <v>83</v>
      </c>
      <c r="N34" s="7"/>
      <c r="O34" s="6" t="s">
        <v>246</v>
      </c>
      <c r="P34" s="6" t="s">
        <v>247</v>
      </c>
      <c r="Q34" s="6" t="s">
        <v>248</v>
      </c>
      <c r="R34" s="8"/>
      <c r="S34" s="9"/>
      <c r="T34" s="10" t="str">
        <f ca="1">IFERROR(__xludf.DUMMYFUNCTION("REGEXREPLACE(REGEXREPLACE(O34, ""[^0-9]"", """"), ""^620"", ""62"")"),"6282187772716")</f>
        <v>6282187772716</v>
      </c>
    </row>
    <row r="35" spans="1:20" ht="32" x14ac:dyDescent="0.2">
      <c r="A35" s="6" t="s">
        <v>249</v>
      </c>
      <c r="B35" s="6"/>
      <c r="C35" s="6" t="s">
        <v>21</v>
      </c>
      <c r="D35" s="6" t="s">
        <v>22</v>
      </c>
      <c r="E35" s="6" t="s">
        <v>250</v>
      </c>
      <c r="F35" s="6" t="s">
        <v>24</v>
      </c>
      <c r="G35" s="6" t="s">
        <v>25</v>
      </c>
      <c r="H35" s="6" t="s">
        <v>26</v>
      </c>
      <c r="I35" s="6" t="s">
        <v>118</v>
      </c>
      <c r="J35" s="6" t="s">
        <v>251</v>
      </c>
      <c r="K35" s="6" t="s">
        <v>29</v>
      </c>
      <c r="L35" s="6" t="s">
        <v>66</v>
      </c>
      <c r="M35" s="7" t="s">
        <v>252</v>
      </c>
      <c r="N35" s="7"/>
      <c r="O35" s="6" t="s">
        <v>253</v>
      </c>
      <c r="P35" s="6" t="s">
        <v>254</v>
      </c>
      <c r="Q35" s="6" t="s">
        <v>255</v>
      </c>
      <c r="R35" s="8"/>
      <c r="S35" s="9"/>
      <c r="T35" s="10" t="str">
        <f ca="1">IFERROR(__xludf.DUMMYFUNCTION("REGEXREPLACE(REGEXREPLACE(O35, ""[^0-9]"", """"), ""^620"", ""62"")"),"628310453763")</f>
        <v>628310453763</v>
      </c>
    </row>
    <row r="36" spans="1:20" ht="48" x14ac:dyDescent="0.2">
      <c r="A36" s="6" t="s">
        <v>256</v>
      </c>
      <c r="B36" s="6"/>
      <c r="C36" s="6" t="s">
        <v>21</v>
      </c>
      <c r="D36" s="6" t="s">
        <v>22</v>
      </c>
      <c r="E36" s="6" t="s">
        <v>257</v>
      </c>
      <c r="F36" s="6" t="s">
        <v>24</v>
      </c>
      <c r="G36" s="6" t="s">
        <v>25</v>
      </c>
      <c r="H36" s="6" t="s">
        <v>26</v>
      </c>
      <c r="I36" s="6" t="s">
        <v>27</v>
      </c>
      <c r="J36" s="6" t="s">
        <v>258</v>
      </c>
      <c r="K36" s="6" t="s">
        <v>40</v>
      </c>
      <c r="L36" s="6" t="s">
        <v>66</v>
      </c>
      <c r="M36" s="7" t="s">
        <v>50</v>
      </c>
      <c r="N36" s="7"/>
      <c r="O36" s="6" t="s">
        <v>259</v>
      </c>
      <c r="P36" s="6" t="s">
        <v>260</v>
      </c>
      <c r="Q36" s="6" t="s">
        <v>261</v>
      </c>
      <c r="R36" s="8"/>
      <c r="S36" s="9"/>
      <c r="T36" s="10" t="str">
        <f ca="1">IFERROR(__xludf.DUMMYFUNCTION("REGEXREPLACE(REGEXREPLACE(O36, ""[^0-9]"", """"), ""^620"", ""62"")"),"6285340370808")</f>
        <v>6285340370808</v>
      </c>
    </row>
    <row r="37" spans="1:20" x14ac:dyDescent="0.2">
      <c r="A37" s="6" t="s">
        <v>262</v>
      </c>
      <c r="B37" s="6"/>
      <c r="C37" s="6" t="s">
        <v>21</v>
      </c>
      <c r="D37" s="6" t="s">
        <v>22</v>
      </c>
      <c r="E37" s="6" t="s">
        <v>263</v>
      </c>
      <c r="F37" s="6" t="s">
        <v>24</v>
      </c>
      <c r="G37" s="6" t="s">
        <v>25</v>
      </c>
      <c r="H37" s="6" t="s">
        <v>26</v>
      </c>
      <c r="I37" s="6" t="s">
        <v>64</v>
      </c>
      <c r="J37" s="6" t="s">
        <v>264</v>
      </c>
      <c r="K37" s="6" t="s">
        <v>40</v>
      </c>
      <c r="L37" s="6" t="s">
        <v>66</v>
      </c>
      <c r="M37" s="7" t="s">
        <v>83</v>
      </c>
      <c r="N37" s="7"/>
      <c r="O37" s="6" t="s">
        <v>265</v>
      </c>
      <c r="P37" s="6" t="s">
        <v>266</v>
      </c>
      <c r="Q37" s="6" t="s">
        <v>267</v>
      </c>
      <c r="R37" s="8"/>
      <c r="S37" s="9"/>
      <c r="T37" s="10" t="str">
        <f ca="1">IFERROR(__xludf.DUMMYFUNCTION("REGEXREPLACE(REGEXREPLACE(O37, ""[^0-9]"", """"), ""^620"", ""62"")"),"6282262109257")</f>
        <v>6282262109257</v>
      </c>
    </row>
    <row r="38" spans="1:20" ht="48" x14ac:dyDescent="0.2">
      <c r="A38" s="6" t="s">
        <v>268</v>
      </c>
      <c r="B38" s="6"/>
      <c r="C38" s="6" t="s">
        <v>21</v>
      </c>
      <c r="D38" s="6" t="s">
        <v>22</v>
      </c>
      <c r="E38" s="6" t="s">
        <v>269</v>
      </c>
      <c r="F38" s="6" t="s">
        <v>24</v>
      </c>
      <c r="G38" s="6" t="s">
        <v>25</v>
      </c>
      <c r="H38" s="6" t="s">
        <v>26</v>
      </c>
      <c r="I38" s="6" t="s">
        <v>27</v>
      </c>
      <c r="J38" s="6" t="s">
        <v>270</v>
      </c>
      <c r="K38" s="6" t="s">
        <v>40</v>
      </c>
      <c r="L38" s="6" t="s">
        <v>30</v>
      </c>
      <c r="M38" s="7" t="s">
        <v>57</v>
      </c>
      <c r="N38" s="7" t="s">
        <v>271</v>
      </c>
      <c r="O38" s="6" t="s">
        <v>272</v>
      </c>
      <c r="P38" s="6" t="s">
        <v>273</v>
      </c>
      <c r="Q38" s="6" t="s">
        <v>274</v>
      </c>
      <c r="R38" s="8"/>
      <c r="S38" s="9"/>
      <c r="T38" s="10" t="str">
        <f ca="1">IFERROR(__xludf.DUMMYFUNCTION("REGEXREPLACE(REGEXREPLACE(O38, ""[^0-9]"", """"), ""^620"", ""62"")"),"6282292178043")</f>
        <v>6282292178043</v>
      </c>
    </row>
    <row r="39" spans="1:20" x14ac:dyDescent="0.2">
      <c r="A39" s="6" t="s">
        <v>275</v>
      </c>
      <c r="B39" s="6"/>
      <c r="C39" s="6" t="s">
        <v>21</v>
      </c>
      <c r="D39" s="6" t="s">
        <v>72</v>
      </c>
      <c r="E39" s="6" t="s">
        <v>276</v>
      </c>
      <c r="F39" s="6" t="s">
        <v>24</v>
      </c>
      <c r="G39" s="6" t="s">
        <v>25</v>
      </c>
      <c r="H39" s="6" t="s">
        <v>26</v>
      </c>
      <c r="I39" s="6" t="s">
        <v>47</v>
      </c>
      <c r="J39" s="6" t="s">
        <v>277</v>
      </c>
      <c r="K39" s="6" t="s">
        <v>29</v>
      </c>
      <c r="L39" s="6" t="s">
        <v>66</v>
      </c>
      <c r="M39" s="7" t="s">
        <v>57</v>
      </c>
      <c r="N39" s="7" t="s">
        <v>278</v>
      </c>
      <c r="O39" s="6" t="s">
        <v>279</v>
      </c>
      <c r="P39" s="6" t="s">
        <v>280</v>
      </c>
      <c r="Q39" s="6" t="s">
        <v>281</v>
      </c>
      <c r="R39" s="8"/>
      <c r="S39" s="9"/>
      <c r="T39" s="10" t="str">
        <f ca="1">IFERROR(__xludf.DUMMYFUNCTION("REGEXREPLACE(REGEXREPLACE(O39, ""[^0-9]"", """"), ""^620"", ""62"")"),"6285298685824")</f>
        <v>6285298685824</v>
      </c>
    </row>
    <row r="40" spans="1:20" x14ac:dyDescent="0.2">
      <c r="A40" s="6" t="s">
        <v>282</v>
      </c>
      <c r="B40" s="6"/>
      <c r="C40" s="6" t="s">
        <v>21</v>
      </c>
      <c r="D40" s="6" t="s">
        <v>72</v>
      </c>
      <c r="E40" s="6" t="s">
        <v>283</v>
      </c>
      <c r="F40" s="6" t="s">
        <v>24</v>
      </c>
      <c r="G40" s="6" t="s">
        <v>25</v>
      </c>
      <c r="H40" s="6" t="s">
        <v>26</v>
      </c>
      <c r="I40" s="6" t="s">
        <v>74</v>
      </c>
      <c r="J40" s="6" t="s">
        <v>284</v>
      </c>
      <c r="K40" s="6" t="s">
        <v>29</v>
      </c>
      <c r="L40" s="6" t="s">
        <v>66</v>
      </c>
      <c r="M40" s="7" t="s">
        <v>57</v>
      </c>
      <c r="N40" s="7" t="s">
        <v>285</v>
      </c>
      <c r="O40" s="6" t="s">
        <v>286</v>
      </c>
      <c r="P40" s="6"/>
      <c r="Q40" s="6" t="s">
        <v>287</v>
      </c>
      <c r="R40" s="8"/>
      <c r="S40" s="9"/>
      <c r="T40" s="10" t="str">
        <f ca="1">IFERROR(__xludf.DUMMYFUNCTION("REGEXREPLACE(REGEXREPLACE(O40, ""[^0-9]"", """"), ""^620"", ""62"")"),"6282343909394")</f>
        <v>6282343909394</v>
      </c>
    </row>
    <row r="41" spans="1:20" ht="32" x14ac:dyDescent="0.2">
      <c r="A41" s="6" t="s">
        <v>288</v>
      </c>
      <c r="B41" s="6"/>
      <c r="C41" s="6" t="s">
        <v>21</v>
      </c>
      <c r="D41" s="6" t="s">
        <v>88</v>
      </c>
      <c r="E41" s="6" t="s">
        <v>289</v>
      </c>
      <c r="F41" s="6" t="s">
        <v>24</v>
      </c>
      <c r="G41" s="6" t="s">
        <v>25</v>
      </c>
      <c r="H41" s="6" t="s">
        <v>26</v>
      </c>
      <c r="I41" s="6" t="s">
        <v>38</v>
      </c>
      <c r="J41" s="6" t="s">
        <v>290</v>
      </c>
      <c r="K41" s="6" t="s">
        <v>40</v>
      </c>
      <c r="L41" s="6" t="s">
        <v>30</v>
      </c>
      <c r="M41" s="7" t="s">
        <v>31</v>
      </c>
      <c r="N41" s="7"/>
      <c r="O41" s="6" t="s">
        <v>291</v>
      </c>
      <c r="P41" s="6"/>
      <c r="Q41" s="6" t="s">
        <v>292</v>
      </c>
      <c r="R41" s="8"/>
      <c r="S41" s="9"/>
      <c r="T41" s="10" t="str">
        <f ca="1">IFERROR(__xludf.DUMMYFUNCTION("REGEXREPLACE(REGEXREPLACE(O41, ""[^0-9]"", """"), ""^620"", ""62"")"),"6285167626607")</f>
        <v>6285167626607</v>
      </c>
    </row>
    <row r="42" spans="1:20" ht="48" x14ac:dyDescent="0.2">
      <c r="A42" s="6" t="s">
        <v>293</v>
      </c>
      <c r="B42" s="6"/>
      <c r="C42" s="6" t="s">
        <v>21</v>
      </c>
      <c r="D42" s="6" t="s">
        <v>72</v>
      </c>
      <c r="E42" s="6" t="s">
        <v>294</v>
      </c>
      <c r="F42" s="6" t="s">
        <v>24</v>
      </c>
      <c r="G42" s="6" t="s">
        <v>25</v>
      </c>
      <c r="H42" s="6" t="s">
        <v>26</v>
      </c>
      <c r="I42" s="6" t="s">
        <v>295</v>
      </c>
      <c r="J42" s="6" t="s">
        <v>296</v>
      </c>
      <c r="K42" s="6" t="s">
        <v>29</v>
      </c>
      <c r="L42" s="6" t="s">
        <v>66</v>
      </c>
      <c r="M42" s="7" t="s">
        <v>67</v>
      </c>
      <c r="N42" s="7"/>
      <c r="O42" s="6" t="s">
        <v>297</v>
      </c>
      <c r="P42" s="6"/>
      <c r="Q42" s="6" t="s">
        <v>298</v>
      </c>
      <c r="R42" s="8"/>
      <c r="S42" s="9"/>
      <c r="T42" s="10" t="str">
        <f ca="1">IFERROR(__xludf.DUMMYFUNCTION("REGEXREPLACE(REGEXREPLACE(O42, ""[^0-9]"", """"), ""^620"", ""62"")"),"6281342785259")</f>
        <v>6281342785259</v>
      </c>
    </row>
    <row r="43" spans="1:20" ht="48" x14ac:dyDescent="0.2">
      <c r="A43" s="6" t="s">
        <v>299</v>
      </c>
      <c r="B43" s="6"/>
      <c r="C43" s="6" t="s">
        <v>21</v>
      </c>
      <c r="D43" s="6" t="s">
        <v>88</v>
      </c>
      <c r="E43" s="6" t="s">
        <v>300</v>
      </c>
      <c r="F43" s="6" t="s">
        <v>24</v>
      </c>
      <c r="G43" s="6" t="s">
        <v>25</v>
      </c>
      <c r="H43" s="6" t="s">
        <v>26</v>
      </c>
      <c r="I43" s="6" t="s">
        <v>47</v>
      </c>
      <c r="J43" s="6" t="s">
        <v>301</v>
      </c>
      <c r="K43" s="6" t="s">
        <v>29</v>
      </c>
      <c r="L43" s="6" t="s">
        <v>30</v>
      </c>
      <c r="M43" s="7" t="s">
        <v>67</v>
      </c>
      <c r="N43" s="7"/>
      <c r="O43" s="6" t="s">
        <v>302</v>
      </c>
      <c r="P43" s="6"/>
      <c r="Q43" s="6" t="s">
        <v>303</v>
      </c>
      <c r="R43" s="8"/>
      <c r="S43" s="9"/>
      <c r="T43" s="10" t="str">
        <f ca="1">IFERROR(__xludf.DUMMYFUNCTION("REGEXREPLACE(REGEXREPLACE(O43, ""[^0-9]"", """"), ""^620"", ""62"")"),"6285340761500")</f>
        <v>6285340761500</v>
      </c>
    </row>
    <row r="44" spans="1:20" ht="32" x14ac:dyDescent="0.2">
      <c r="A44" s="6" t="s">
        <v>304</v>
      </c>
      <c r="B44" s="6"/>
      <c r="C44" s="6" t="s">
        <v>21</v>
      </c>
      <c r="D44" s="6" t="s">
        <v>88</v>
      </c>
      <c r="E44" s="6" t="s">
        <v>305</v>
      </c>
      <c r="F44" s="6" t="s">
        <v>24</v>
      </c>
      <c r="G44" s="6" t="s">
        <v>25</v>
      </c>
      <c r="H44" s="6" t="s">
        <v>26</v>
      </c>
      <c r="I44" s="6" t="s">
        <v>74</v>
      </c>
      <c r="J44" s="6" t="s">
        <v>306</v>
      </c>
      <c r="K44" s="6" t="s">
        <v>40</v>
      </c>
      <c r="L44" s="6" t="s">
        <v>30</v>
      </c>
      <c r="M44" s="7" t="s">
        <v>31</v>
      </c>
      <c r="N44" s="7"/>
      <c r="O44" s="6" t="s">
        <v>307</v>
      </c>
      <c r="P44" s="6"/>
      <c r="Q44" s="6" t="s">
        <v>308</v>
      </c>
      <c r="R44" s="8"/>
      <c r="S44" s="9"/>
      <c r="T44" s="10" t="str">
        <f ca="1">IFERROR(__xludf.DUMMYFUNCTION("REGEXREPLACE(REGEXREPLACE(O44, ""[^0-9]"", """"), ""^620"", ""62"")"),"6282191886588")</f>
        <v>6282191886588</v>
      </c>
    </row>
    <row r="45" spans="1:20" ht="48" x14ac:dyDescent="0.2">
      <c r="A45" s="6" t="s">
        <v>309</v>
      </c>
      <c r="B45" s="6"/>
      <c r="C45" s="6" t="s">
        <v>21</v>
      </c>
      <c r="D45" s="6" t="s">
        <v>22</v>
      </c>
      <c r="E45" s="6" t="s">
        <v>310</v>
      </c>
      <c r="F45" s="6" t="s">
        <v>24</v>
      </c>
      <c r="G45" s="6" t="s">
        <v>25</v>
      </c>
      <c r="H45" s="6" t="s">
        <v>26</v>
      </c>
      <c r="I45" s="6" t="s">
        <v>27</v>
      </c>
      <c r="J45" s="6" t="s">
        <v>311</v>
      </c>
      <c r="K45" s="6" t="s">
        <v>29</v>
      </c>
      <c r="L45" s="6" t="s">
        <v>66</v>
      </c>
      <c r="M45" s="7" t="s">
        <v>67</v>
      </c>
      <c r="N45" s="7"/>
      <c r="O45" s="6" t="s">
        <v>312</v>
      </c>
      <c r="P45" s="6" t="s">
        <v>313</v>
      </c>
      <c r="Q45" s="6" t="s">
        <v>314</v>
      </c>
      <c r="R45" s="8"/>
      <c r="S45" s="9"/>
      <c r="T45" s="10" t="str">
        <f ca="1">IFERROR(__xludf.DUMMYFUNCTION("REGEXREPLACE(REGEXREPLACE(O45, ""[^0-9]"", """"), ""^620"", ""62"")"),"6289647116440")</f>
        <v>6289647116440</v>
      </c>
    </row>
    <row r="46" spans="1:20" ht="48" x14ac:dyDescent="0.2">
      <c r="A46" s="6" t="s">
        <v>315</v>
      </c>
      <c r="B46" s="6"/>
      <c r="C46" s="6" t="s">
        <v>21</v>
      </c>
      <c r="D46" s="6" t="s">
        <v>22</v>
      </c>
      <c r="E46" s="6" t="s">
        <v>316</v>
      </c>
      <c r="F46" s="6" t="s">
        <v>24</v>
      </c>
      <c r="G46" s="6" t="s">
        <v>25</v>
      </c>
      <c r="H46" s="6" t="s">
        <v>26</v>
      </c>
      <c r="I46" s="6" t="s">
        <v>47</v>
      </c>
      <c r="J46" s="6" t="s">
        <v>317</v>
      </c>
      <c r="K46" s="6" t="s">
        <v>29</v>
      </c>
      <c r="L46" s="6" t="s">
        <v>66</v>
      </c>
      <c r="M46" s="7" t="s">
        <v>67</v>
      </c>
      <c r="N46" s="7"/>
      <c r="O46" s="6" t="s">
        <v>318</v>
      </c>
      <c r="P46" s="6"/>
      <c r="Q46" s="6" t="s">
        <v>319</v>
      </c>
      <c r="R46" s="8"/>
      <c r="S46" s="9"/>
      <c r="T46" s="10" t="str">
        <f ca="1">IFERROR(__xludf.DUMMYFUNCTION("REGEXREPLACE(REGEXREPLACE(O46, ""[^0-9]"", """"), ""^620"", ""62"")"),"6285299704099")</f>
        <v>6285299704099</v>
      </c>
    </row>
    <row r="47" spans="1:20" ht="32" x14ac:dyDescent="0.2">
      <c r="A47" s="6" t="s">
        <v>320</v>
      </c>
      <c r="B47" s="6"/>
      <c r="C47" s="6" t="s">
        <v>21</v>
      </c>
      <c r="D47" s="6" t="s">
        <v>22</v>
      </c>
      <c r="E47" s="6" t="s">
        <v>321</v>
      </c>
      <c r="F47" s="6" t="s">
        <v>24</v>
      </c>
      <c r="G47" s="6" t="s">
        <v>25</v>
      </c>
      <c r="H47" s="6" t="s">
        <v>26</v>
      </c>
      <c r="I47" s="6" t="s">
        <v>74</v>
      </c>
      <c r="J47" s="6" t="s">
        <v>322</v>
      </c>
      <c r="K47" s="6" t="s">
        <v>29</v>
      </c>
      <c r="L47" s="6" t="s">
        <v>66</v>
      </c>
      <c r="M47" s="7" t="s">
        <v>57</v>
      </c>
      <c r="N47" s="7" t="s">
        <v>97</v>
      </c>
      <c r="O47" s="6" t="s">
        <v>323</v>
      </c>
      <c r="P47" s="6" t="s">
        <v>324</v>
      </c>
      <c r="Q47" s="6" t="s">
        <v>325</v>
      </c>
      <c r="R47" s="8"/>
      <c r="S47" s="9"/>
      <c r="T47" s="10" t="str">
        <f ca="1">IFERROR(__xludf.DUMMYFUNCTION("REGEXREPLACE(REGEXREPLACE(O47, ""[^0-9]"", """"), ""^620"", ""62"")"),"6285298119700")</f>
        <v>6285298119700</v>
      </c>
    </row>
    <row r="48" spans="1:20" ht="32" x14ac:dyDescent="0.2">
      <c r="A48" s="6" t="s">
        <v>326</v>
      </c>
      <c r="B48" s="6"/>
      <c r="C48" s="6" t="s">
        <v>21</v>
      </c>
      <c r="D48" s="6" t="s">
        <v>22</v>
      </c>
      <c r="E48" s="6" t="s">
        <v>327</v>
      </c>
      <c r="F48" s="6" t="s">
        <v>24</v>
      </c>
      <c r="G48" s="6" t="s">
        <v>25</v>
      </c>
      <c r="H48" s="6" t="s">
        <v>26</v>
      </c>
      <c r="I48" s="6" t="s">
        <v>27</v>
      </c>
      <c r="J48" s="6" t="s">
        <v>328</v>
      </c>
      <c r="K48" s="6" t="s">
        <v>40</v>
      </c>
      <c r="L48" s="6" t="s">
        <v>49</v>
      </c>
      <c r="M48" s="7" t="s">
        <v>31</v>
      </c>
      <c r="N48" s="7"/>
      <c r="O48" s="6" t="s">
        <v>329</v>
      </c>
      <c r="P48" s="6" t="s">
        <v>330</v>
      </c>
      <c r="Q48" s="6" t="s">
        <v>331</v>
      </c>
      <c r="R48" s="8"/>
      <c r="S48" s="9"/>
      <c r="T48" s="10" t="str">
        <f ca="1">IFERROR(__xludf.DUMMYFUNCTION("REGEXREPLACE(REGEXREPLACE(O48, ""[^0-9]"", """"), ""^620"", ""62"")"),"6285211006213")</f>
        <v>6285211006213</v>
      </c>
    </row>
    <row r="49" spans="1:20" ht="32" x14ac:dyDescent="0.2">
      <c r="A49" s="6" t="s">
        <v>332</v>
      </c>
      <c r="B49" s="6"/>
      <c r="C49" s="6" t="s">
        <v>21</v>
      </c>
      <c r="D49" s="6" t="s">
        <v>22</v>
      </c>
      <c r="E49" s="6" t="s">
        <v>333</v>
      </c>
      <c r="F49" s="6" t="s">
        <v>24</v>
      </c>
      <c r="G49" s="6" t="s">
        <v>25</v>
      </c>
      <c r="H49" s="6" t="s">
        <v>26</v>
      </c>
      <c r="I49" s="6" t="s">
        <v>38</v>
      </c>
      <c r="J49" s="6" t="s">
        <v>334</v>
      </c>
      <c r="K49" s="6" t="s">
        <v>40</v>
      </c>
      <c r="L49" s="6" t="s">
        <v>30</v>
      </c>
      <c r="M49" s="7" t="s">
        <v>31</v>
      </c>
      <c r="N49" s="7"/>
      <c r="O49" s="6" t="s">
        <v>335</v>
      </c>
      <c r="P49" s="6"/>
      <c r="Q49" s="6" t="s">
        <v>336</v>
      </c>
      <c r="R49" s="8"/>
      <c r="S49" s="9"/>
      <c r="T49" s="10" t="str">
        <f ca="1">IFERROR(__xludf.DUMMYFUNCTION("REGEXREPLACE(REGEXREPLACE(O49, ""[^0-9]"", """"), ""^620"", ""62"")"),"6281355602274")</f>
        <v>6281355602274</v>
      </c>
    </row>
    <row r="50" spans="1:20" ht="48" x14ac:dyDescent="0.2">
      <c r="A50" s="6" t="s">
        <v>337</v>
      </c>
      <c r="B50" s="6"/>
      <c r="C50" s="6" t="s">
        <v>21</v>
      </c>
      <c r="D50" s="6" t="s">
        <v>22</v>
      </c>
      <c r="E50" s="6" t="s">
        <v>338</v>
      </c>
      <c r="F50" s="6" t="s">
        <v>24</v>
      </c>
      <c r="G50" s="6" t="s">
        <v>25</v>
      </c>
      <c r="H50" s="6" t="s">
        <v>26</v>
      </c>
      <c r="I50" s="6" t="s">
        <v>27</v>
      </c>
      <c r="J50" s="6" t="s">
        <v>339</v>
      </c>
      <c r="K50" s="6" t="s">
        <v>29</v>
      </c>
      <c r="L50" s="6" t="s">
        <v>66</v>
      </c>
      <c r="M50" s="7" t="s">
        <v>67</v>
      </c>
      <c r="N50" s="7"/>
      <c r="O50" s="6" t="s">
        <v>340</v>
      </c>
      <c r="P50" s="6" t="s">
        <v>341</v>
      </c>
      <c r="Q50" s="6" t="s">
        <v>342</v>
      </c>
      <c r="R50" s="8"/>
      <c r="S50" s="9"/>
      <c r="T50" s="10" t="str">
        <f ca="1">IFERROR(__xludf.DUMMYFUNCTION("REGEXREPLACE(REGEXREPLACE(O50, ""[^0-9]"", """"), ""^620"", ""62"")"),"6285340856282")</f>
        <v>6285340856282</v>
      </c>
    </row>
    <row r="51" spans="1:20" x14ac:dyDescent="0.2">
      <c r="A51" s="6" t="s">
        <v>343</v>
      </c>
      <c r="B51" s="6"/>
      <c r="C51" s="6" t="s">
        <v>21</v>
      </c>
      <c r="D51" s="6" t="s">
        <v>22</v>
      </c>
      <c r="E51" s="6" t="s">
        <v>344</v>
      </c>
      <c r="F51" s="6" t="s">
        <v>24</v>
      </c>
      <c r="G51" s="6" t="s">
        <v>25</v>
      </c>
      <c r="H51" s="6" t="s">
        <v>26</v>
      </c>
      <c r="I51" s="6" t="s">
        <v>27</v>
      </c>
      <c r="J51" s="6" t="s">
        <v>345</v>
      </c>
      <c r="K51" s="6" t="s">
        <v>29</v>
      </c>
      <c r="L51" s="6" t="s">
        <v>66</v>
      </c>
      <c r="M51" s="7" t="s">
        <v>57</v>
      </c>
      <c r="N51" s="7" t="s">
        <v>346</v>
      </c>
      <c r="O51" s="6" t="s">
        <v>347</v>
      </c>
      <c r="P51" s="6" t="s">
        <v>348</v>
      </c>
      <c r="Q51" s="6" t="s">
        <v>349</v>
      </c>
      <c r="R51" s="8"/>
      <c r="S51" s="9"/>
      <c r="T51" s="10" t="str">
        <f ca="1">IFERROR(__xludf.DUMMYFUNCTION("REGEXREPLACE(REGEXREPLACE(O51, ""[^0-9]"", """"), ""^620"", ""62"")"),"082344419498")</f>
        <v>082344419498</v>
      </c>
    </row>
    <row r="52" spans="1:20" ht="48" x14ac:dyDescent="0.2">
      <c r="A52" s="6" t="s">
        <v>350</v>
      </c>
      <c r="B52" s="6"/>
      <c r="C52" s="6" t="s">
        <v>21</v>
      </c>
      <c r="D52" s="6" t="s">
        <v>22</v>
      </c>
      <c r="E52" s="6" t="s">
        <v>351</v>
      </c>
      <c r="F52" s="6" t="s">
        <v>24</v>
      </c>
      <c r="G52" s="6" t="s">
        <v>25</v>
      </c>
      <c r="H52" s="6" t="s">
        <v>26</v>
      </c>
      <c r="I52" s="6" t="s">
        <v>64</v>
      </c>
      <c r="J52" s="6" t="s">
        <v>352</v>
      </c>
      <c r="K52" s="6" t="s">
        <v>29</v>
      </c>
      <c r="L52" s="6" t="s">
        <v>66</v>
      </c>
      <c r="M52" s="7" t="s">
        <v>57</v>
      </c>
      <c r="N52" s="7" t="s">
        <v>353</v>
      </c>
      <c r="O52" s="6" t="s">
        <v>354</v>
      </c>
      <c r="P52" s="6" t="s">
        <v>355</v>
      </c>
      <c r="Q52" s="6" t="s">
        <v>356</v>
      </c>
      <c r="R52" s="8"/>
      <c r="S52" s="9"/>
      <c r="T52" s="10" t="str">
        <f ca="1">IFERROR(__xludf.DUMMYFUNCTION("REGEXREPLACE(REGEXREPLACE(O52, ""[^0-9]"", """"), ""^620"", ""62"")"),"6281343969437")</f>
        <v>6281343969437</v>
      </c>
    </row>
    <row r="53" spans="1:20" ht="32" x14ac:dyDescent="0.2">
      <c r="A53" s="6" t="s">
        <v>357</v>
      </c>
      <c r="B53" s="6"/>
      <c r="C53" s="6" t="s">
        <v>21</v>
      </c>
      <c r="D53" s="6" t="s">
        <v>22</v>
      </c>
      <c r="E53" s="6" t="s">
        <v>358</v>
      </c>
      <c r="F53" s="6" t="s">
        <v>24</v>
      </c>
      <c r="G53" s="6" t="s">
        <v>25</v>
      </c>
      <c r="H53" s="6" t="s">
        <v>26</v>
      </c>
      <c r="I53" s="6" t="s">
        <v>47</v>
      </c>
      <c r="J53" s="6" t="s">
        <v>359</v>
      </c>
      <c r="K53" s="6" t="s">
        <v>40</v>
      </c>
      <c r="L53" s="6" t="s">
        <v>66</v>
      </c>
      <c r="M53" s="7" t="s">
        <v>31</v>
      </c>
      <c r="N53" s="7"/>
      <c r="O53" s="6" t="s">
        <v>360</v>
      </c>
      <c r="P53" s="6" t="s">
        <v>361</v>
      </c>
      <c r="Q53" s="6" t="s">
        <v>362</v>
      </c>
      <c r="R53" s="8"/>
      <c r="S53" s="9"/>
      <c r="T53" s="10" t="str">
        <f ca="1">IFERROR(__xludf.DUMMYFUNCTION("REGEXREPLACE(REGEXREPLACE(O53, ""[^0-9]"", """"), ""^620"", ""62"")"),"6287816087250")</f>
        <v>6287816087250</v>
      </c>
    </row>
    <row r="54" spans="1:20" x14ac:dyDescent="0.2">
      <c r="A54" s="6" t="s">
        <v>363</v>
      </c>
      <c r="B54" s="6"/>
      <c r="C54" s="6" t="s">
        <v>21</v>
      </c>
      <c r="D54" s="6" t="s">
        <v>22</v>
      </c>
      <c r="E54" s="6" t="s">
        <v>364</v>
      </c>
      <c r="F54" s="6" t="s">
        <v>24</v>
      </c>
      <c r="G54" s="6" t="s">
        <v>25</v>
      </c>
      <c r="H54" s="6" t="s">
        <v>26</v>
      </c>
      <c r="I54" s="6" t="s">
        <v>74</v>
      </c>
      <c r="J54" s="6" t="s">
        <v>365</v>
      </c>
      <c r="K54" s="6" t="s">
        <v>40</v>
      </c>
      <c r="L54" s="6" t="s">
        <v>66</v>
      </c>
      <c r="M54" s="7" t="s">
        <v>83</v>
      </c>
      <c r="N54" s="7"/>
      <c r="O54" s="6" t="s">
        <v>366</v>
      </c>
      <c r="P54" s="6"/>
      <c r="Q54" s="6" t="s">
        <v>367</v>
      </c>
      <c r="R54" s="8"/>
      <c r="S54" s="9"/>
      <c r="T54" s="10" t="str">
        <f ca="1">IFERROR(__xludf.DUMMYFUNCTION("REGEXREPLACE(REGEXREPLACE(O54, ""[^0-9]"", """"), ""^620"", ""62"")"),"6282347279725")</f>
        <v>6282347279725</v>
      </c>
    </row>
    <row r="55" spans="1:20" ht="32" x14ac:dyDescent="0.2">
      <c r="A55" s="6" t="s">
        <v>368</v>
      </c>
      <c r="B55" s="6"/>
      <c r="C55" s="6" t="s">
        <v>21</v>
      </c>
      <c r="D55" s="6" t="s">
        <v>22</v>
      </c>
      <c r="E55" s="6" t="s">
        <v>369</v>
      </c>
      <c r="F55" s="6" t="s">
        <v>24</v>
      </c>
      <c r="G55" s="6" t="s">
        <v>25</v>
      </c>
      <c r="H55" s="6" t="s">
        <v>26</v>
      </c>
      <c r="I55" s="6" t="s">
        <v>74</v>
      </c>
      <c r="J55" s="6" t="s">
        <v>370</v>
      </c>
      <c r="K55" s="6" t="s">
        <v>29</v>
      </c>
      <c r="L55" s="6" t="s">
        <v>66</v>
      </c>
      <c r="M55" s="7" t="s">
        <v>31</v>
      </c>
      <c r="N55" s="7"/>
      <c r="O55" s="6" t="s">
        <v>371</v>
      </c>
      <c r="P55" s="6" t="s">
        <v>372</v>
      </c>
      <c r="Q55" s="6" t="s">
        <v>373</v>
      </c>
      <c r="R55" s="8"/>
      <c r="S55" s="9"/>
      <c r="T55" s="10" t="str">
        <f ca="1">IFERROR(__xludf.DUMMYFUNCTION("REGEXREPLACE(REGEXREPLACE(O55, ""[^0-9]"", """"), ""^620"", ""62"")"),"6285256420631")</f>
        <v>6285256420631</v>
      </c>
    </row>
    <row r="56" spans="1:20" x14ac:dyDescent="0.2">
      <c r="A56" s="6" t="s">
        <v>374</v>
      </c>
      <c r="B56" s="6"/>
      <c r="C56" s="6" t="s">
        <v>21</v>
      </c>
      <c r="D56" s="6" t="s">
        <v>88</v>
      </c>
      <c r="E56" s="6" t="s">
        <v>375</v>
      </c>
      <c r="F56" s="6" t="s">
        <v>24</v>
      </c>
      <c r="G56" s="6" t="s">
        <v>25</v>
      </c>
      <c r="H56" s="6" t="s">
        <v>26</v>
      </c>
      <c r="I56" s="6" t="s">
        <v>74</v>
      </c>
      <c r="J56" s="6" t="s">
        <v>376</v>
      </c>
      <c r="K56" s="6" t="s">
        <v>40</v>
      </c>
      <c r="L56" s="6" t="s">
        <v>66</v>
      </c>
      <c r="M56" s="7" t="s">
        <v>83</v>
      </c>
      <c r="N56" s="7"/>
      <c r="O56" s="6" t="s">
        <v>377</v>
      </c>
      <c r="P56" s="6"/>
      <c r="Q56" s="6" t="s">
        <v>378</v>
      </c>
      <c r="R56" s="8"/>
      <c r="S56" s="9"/>
      <c r="T56" s="10" t="str">
        <f ca="1">IFERROR(__xludf.DUMMYFUNCTION("REGEXREPLACE(REGEXREPLACE(O56, ""[^0-9]"", """"), ""^620"", ""62"")"),"6285353417736")</f>
        <v>6285353417736</v>
      </c>
    </row>
    <row r="57" spans="1:20" ht="48" x14ac:dyDescent="0.2">
      <c r="A57" s="6" t="s">
        <v>379</v>
      </c>
      <c r="B57" s="6"/>
      <c r="C57" s="6" t="s">
        <v>21</v>
      </c>
      <c r="D57" s="6" t="s">
        <v>88</v>
      </c>
      <c r="E57" s="6" t="s">
        <v>380</v>
      </c>
      <c r="F57" s="6" t="s">
        <v>24</v>
      </c>
      <c r="G57" s="6" t="s">
        <v>25</v>
      </c>
      <c r="H57" s="6" t="s">
        <v>26</v>
      </c>
      <c r="I57" s="6" t="s">
        <v>74</v>
      </c>
      <c r="J57" s="6" t="s">
        <v>381</v>
      </c>
      <c r="K57" s="6" t="s">
        <v>29</v>
      </c>
      <c r="L57" s="6" t="s">
        <v>66</v>
      </c>
      <c r="M57" s="7" t="s">
        <v>67</v>
      </c>
      <c r="N57" s="7"/>
      <c r="O57" s="6" t="s">
        <v>382</v>
      </c>
      <c r="P57" s="6"/>
      <c r="Q57" s="6" t="s">
        <v>383</v>
      </c>
      <c r="R57" s="8"/>
      <c r="S57" s="9"/>
      <c r="T57" s="10" t="str">
        <f ca="1">IFERROR(__xludf.DUMMYFUNCTION("REGEXREPLACE(REGEXREPLACE(O57, ""[^0-9]"", """"), ""^620"", ""62"")"),"6285145193089")</f>
        <v>6285145193089</v>
      </c>
    </row>
    <row r="58" spans="1:20" x14ac:dyDescent="0.2">
      <c r="A58" s="6" t="s">
        <v>384</v>
      </c>
      <c r="B58" s="6"/>
      <c r="C58" s="6" t="s">
        <v>21</v>
      </c>
      <c r="D58" s="6" t="s">
        <v>88</v>
      </c>
      <c r="E58" s="6" t="s">
        <v>385</v>
      </c>
      <c r="F58" s="6" t="s">
        <v>24</v>
      </c>
      <c r="G58" s="6" t="s">
        <v>25</v>
      </c>
      <c r="H58" s="6" t="s">
        <v>26</v>
      </c>
      <c r="I58" s="6" t="s">
        <v>38</v>
      </c>
      <c r="J58" s="6" t="s">
        <v>386</v>
      </c>
      <c r="K58" s="6" t="s">
        <v>29</v>
      </c>
      <c r="L58" s="6" t="s">
        <v>66</v>
      </c>
      <c r="M58" s="7" t="s">
        <v>57</v>
      </c>
      <c r="N58" s="7" t="s">
        <v>387</v>
      </c>
      <c r="O58" s="6" t="s">
        <v>388</v>
      </c>
      <c r="P58" s="6"/>
      <c r="Q58" s="6" t="s">
        <v>389</v>
      </c>
      <c r="R58" s="8"/>
      <c r="S58" s="9"/>
      <c r="T58" s="10" t="str">
        <f ca="1">IFERROR(__xludf.DUMMYFUNCTION("REGEXREPLACE(REGEXREPLACE(O58, ""[^0-9]"", """"), ""^620"", ""62"")"),"6281347464432")</f>
        <v>6281347464432</v>
      </c>
    </row>
    <row r="59" spans="1:20" ht="48" x14ac:dyDescent="0.2">
      <c r="A59" s="6" t="s">
        <v>390</v>
      </c>
      <c r="B59" s="6"/>
      <c r="C59" s="6" t="s">
        <v>21</v>
      </c>
      <c r="D59" s="6" t="s">
        <v>88</v>
      </c>
      <c r="E59" s="6" t="s">
        <v>391</v>
      </c>
      <c r="F59" s="6" t="s">
        <v>24</v>
      </c>
      <c r="G59" s="6" t="s">
        <v>25</v>
      </c>
      <c r="H59" s="6" t="s">
        <v>26</v>
      </c>
      <c r="I59" s="6" t="s">
        <v>27</v>
      </c>
      <c r="J59" s="6" t="s">
        <v>392</v>
      </c>
      <c r="K59" s="6" t="s">
        <v>29</v>
      </c>
      <c r="L59" s="6" t="s">
        <v>66</v>
      </c>
      <c r="M59" s="7" t="s">
        <v>67</v>
      </c>
      <c r="N59" s="7"/>
      <c r="O59" s="6" t="s">
        <v>393</v>
      </c>
      <c r="P59" s="6"/>
      <c r="Q59" s="6" t="s">
        <v>394</v>
      </c>
      <c r="R59" s="8"/>
      <c r="S59" s="9"/>
      <c r="T59" s="10" t="str">
        <f ca="1">IFERROR(__xludf.DUMMYFUNCTION("REGEXREPLACE(REGEXREPLACE(O59, ""[^0-9]"", """"), ""^620"", ""62"")"),"6281242458874")</f>
        <v>6281242458874</v>
      </c>
    </row>
    <row r="60" spans="1:20" ht="32" x14ac:dyDescent="0.2">
      <c r="A60" s="6" t="s">
        <v>395</v>
      </c>
      <c r="B60" s="6"/>
      <c r="C60" s="6" t="s">
        <v>21</v>
      </c>
      <c r="D60" s="6" t="s">
        <v>88</v>
      </c>
      <c r="E60" s="6" t="s">
        <v>300</v>
      </c>
      <c r="F60" s="6" t="s">
        <v>24</v>
      </c>
      <c r="G60" s="6" t="s">
        <v>25</v>
      </c>
      <c r="H60" s="6" t="s">
        <v>26</v>
      </c>
      <c r="I60" s="6" t="s">
        <v>47</v>
      </c>
      <c r="J60" s="6" t="s">
        <v>396</v>
      </c>
      <c r="K60" s="6" t="s">
        <v>40</v>
      </c>
      <c r="L60" s="6" t="s">
        <v>148</v>
      </c>
      <c r="M60" s="7" t="s">
        <v>57</v>
      </c>
      <c r="N60" s="7" t="s">
        <v>397</v>
      </c>
      <c r="O60" s="6" t="s">
        <v>398</v>
      </c>
      <c r="P60" s="6"/>
      <c r="Q60" s="6" t="s">
        <v>399</v>
      </c>
      <c r="R60" s="8"/>
      <c r="S60" s="9"/>
      <c r="T60" s="10" t="str">
        <f ca="1">IFERROR(__xludf.DUMMYFUNCTION("REGEXREPLACE(REGEXREPLACE(O60, ""[^0-9]"", """"), ""^620"", ""62"")"),"6281354824611")</f>
        <v>6281354824611</v>
      </c>
    </row>
    <row r="61" spans="1:20" ht="48" x14ac:dyDescent="0.2">
      <c r="A61" s="6" t="s">
        <v>400</v>
      </c>
      <c r="B61" s="6"/>
      <c r="C61" s="6" t="s">
        <v>21</v>
      </c>
      <c r="D61" s="6" t="s">
        <v>88</v>
      </c>
      <c r="E61" s="6" t="s">
        <v>401</v>
      </c>
      <c r="F61" s="6" t="s">
        <v>24</v>
      </c>
      <c r="G61" s="6" t="s">
        <v>25</v>
      </c>
      <c r="H61" s="6" t="s">
        <v>26</v>
      </c>
      <c r="I61" s="6" t="s">
        <v>74</v>
      </c>
      <c r="J61" s="6" t="s">
        <v>402</v>
      </c>
      <c r="K61" s="6" t="s">
        <v>40</v>
      </c>
      <c r="L61" s="6" t="s">
        <v>66</v>
      </c>
      <c r="M61" s="7" t="s">
        <v>50</v>
      </c>
      <c r="N61" s="7"/>
      <c r="O61" s="6" t="s">
        <v>403</v>
      </c>
      <c r="P61" s="6"/>
      <c r="Q61" s="6" t="s">
        <v>404</v>
      </c>
      <c r="R61" s="8"/>
      <c r="S61" s="9"/>
      <c r="T61" s="10" t="str">
        <f ca="1">IFERROR(__xludf.DUMMYFUNCTION("REGEXREPLACE(REGEXREPLACE(O61, ""[^0-9]"", """"), ""^620"", ""62"")"),"6285283355936")</f>
        <v>6285283355936</v>
      </c>
    </row>
    <row r="62" spans="1:20" ht="32" x14ac:dyDescent="0.2">
      <c r="A62" s="6" t="s">
        <v>405</v>
      </c>
      <c r="B62" s="6"/>
      <c r="C62" s="6" t="s">
        <v>21</v>
      </c>
      <c r="D62" s="6" t="s">
        <v>88</v>
      </c>
      <c r="E62" s="6" t="s">
        <v>406</v>
      </c>
      <c r="F62" s="6" t="s">
        <v>24</v>
      </c>
      <c r="G62" s="6" t="s">
        <v>25</v>
      </c>
      <c r="H62" s="6" t="s">
        <v>26</v>
      </c>
      <c r="I62" s="6" t="s">
        <v>47</v>
      </c>
      <c r="J62" s="6" t="s">
        <v>407</v>
      </c>
      <c r="K62" s="6" t="s">
        <v>40</v>
      </c>
      <c r="L62" s="6" t="s">
        <v>30</v>
      </c>
      <c r="M62" s="7" t="s">
        <v>31</v>
      </c>
      <c r="N62" s="7"/>
      <c r="O62" s="6" t="s">
        <v>408</v>
      </c>
      <c r="P62" s="6"/>
      <c r="Q62" s="6" t="s">
        <v>409</v>
      </c>
      <c r="R62" s="8"/>
      <c r="S62" s="9"/>
      <c r="T62" s="10" t="str">
        <f ca="1">IFERROR(__xludf.DUMMYFUNCTION("REGEXREPLACE(REGEXREPLACE(O62, ""[^0-9]"", """"), ""^620"", ""62"")"),"6282347279624")</f>
        <v>6282347279624</v>
      </c>
    </row>
    <row r="63" spans="1:20" x14ac:dyDescent="0.2">
      <c r="A63" s="6" t="s">
        <v>410</v>
      </c>
      <c r="B63" s="6"/>
      <c r="C63" s="6" t="s">
        <v>21</v>
      </c>
      <c r="D63" s="6" t="s">
        <v>88</v>
      </c>
      <c r="E63" s="6" t="s">
        <v>411</v>
      </c>
      <c r="F63" s="6" t="s">
        <v>24</v>
      </c>
      <c r="G63" s="6" t="s">
        <v>25</v>
      </c>
      <c r="H63" s="6" t="s">
        <v>26</v>
      </c>
      <c r="I63" s="6" t="s">
        <v>47</v>
      </c>
      <c r="J63" s="6" t="s">
        <v>412</v>
      </c>
      <c r="K63" s="6" t="s">
        <v>29</v>
      </c>
      <c r="L63" s="6" t="s">
        <v>66</v>
      </c>
      <c r="M63" s="7" t="s">
        <v>57</v>
      </c>
      <c r="N63" s="7" t="s">
        <v>413</v>
      </c>
      <c r="O63" s="6" t="s">
        <v>414</v>
      </c>
      <c r="P63" s="6" t="s">
        <v>415</v>
      </c>
      <c r="Q63" s="6" t="s">
        <v>416</v>
      </c>
      <c r="R63" s="8"/>
      <c r="S63" s="9"/>
      <c r="T63" s="10" t="str">
        <f ca="1">IFERROR(__xludf.DUMMYFUNCTION("REGEXREPLACE(REGEXREPLACE(O63, ""[^0-9]"", """"), ""^620"", ""62"")"),"6285343820112")</f>
        <v>6285343820112</v>
      </c>
    </row>
    <row r="64" spans="1:20" ht="48" x14ac:dyDescent="0.2">
      <c r="A64" s="6" t="s">
        <v>417</v>
      </c>
      <c r="B64" s="6"/>
      <c r="C64" s="6" t="s">
        <v>21</v>
      </c>
      <c r="D64" s="6" t="s">
        <v>88</v>
      </c>
      <c r="E64" s="6" t="s">
        <v>344</v>
      </c>
      <c r="F64" s="6" t="s">
        <v>24</v>
      </c>
      <c r="G64" s="6" t="s">
        <v>25</v>
      </c>
      <c r="H64" s="6" t="s">
        <v>26</v>
      </c>
      <c r="I64" s="6" t="s">
        <v>27</v>
      </c>
      <c r="J64" s="6" t="s">
        <v>418</v>
      </c>
      <c r="K64" s="6" t="s">
        <v>29</v>
      </c>
      <c r="L64" s="6" t="s">
        <v>66</v>
      </c>
      <c r="M64" s="7" t="s">
        <v>67</v>
      </c>
      <c r="N64" s="7"/>
      <c r="O64" s="6" t="s">
        <v>419</v>
      </c>
      <c r="P64" s="6" t="s">
        <v>420</v>
      </c>
      <c r="Q64" s="6" t="s">
        <v>421</v>
      </c>
      <c r="R64" s="8"/>
      <c r="S64" s="9"/>
      <c r="T64" s="10" t="str">
        <f ca="1">IFERROR(__xludf.DUMMYFUNCTION("REGEXREPLACE(REGEXREPLACE(O64, ""[^0-9]"", """"), ""^620"", ""62"")"),"6285256906185")</f>
        <v>6285256906185</v>
      </c>
    </row>
    <row r="65" spans="1:20" x14ac:dyDescent="0.2">
      <c r="A65" s="6" t="s">
        <v>422</v>
      </c>
      <c r="B65" s="6"/>
      <c r="C65" s="6" t="s">
        <v>21</v>
      </c>
      <c r="D65" s="6" t="s">
        <v>88</v>
      </c>
      <c r="E65" s="6" t="s">
        <v>423</v>
      </c>
      <c r="F65" s="6" t="s">
        <v>24</v>
      </c>
      <c r="G65" s="6" t="s">
        <v>25</v>
      </c>
      <c r="H65" s="6" t="s">
        <v>26</v>
      </c>
      <c r="I65" s="6" t="s">
        <v>74</v>
      </c>
      <c r="J65" s="6" t="s">
        <v>424</v>
      </c>
      <c r="K65" s="6" t="s">
        <v>29</v>
      </c>
      <c r="L65" s="6" t="s">
        <v>66</v>
      </c>
      <c r="M65" s="7" t="s">
        <v>83</v>
      </c>
      <c r="N65" s="7"/>
      <c r="O65" s="6" t="s">
        <v>425</v>
      </c>
      <c r="P65" s="6" t="s">
        <v>426</v>
      </c>
      <c r="Q65" s="6" t="s">
        <v>427</v>
      </c>
      <c r="R65" s="8"/>
      <c r="S65" s="9"/>
      <c r="T65" s="10" t="str">
        <f ca="1">IFERROR(__xludf.DUMMYFUNCTION("REGEXREPLACE(REGEXREPLACE(O65, ""[^0-9]"", """"), ""^620"", ""62"")"),"6285342496066")</f>
        <v>6285342496066</v>
      </c>
    </row>
    <row r="66" spans="1:20" ht="48" x14ac:dyDescent="0.2">
      <c r="A66" s="6" t="s">
        <v>428</v>
      </c>
      <c r="B66" s="6"/>
      <c r="C66" s="6" t="s">
        <v>21</v>
      </c>
      <c r="D66" s="6" t="s">
        <v>88</v>
      </c>
      <c r="E66" s="6" t="s">
        <v>429</v>
      </c>
      <c r="F66" s="6" t="s">
        <v>24</v>
      </c>
      <c r="G66" s="6" t="s">
        <v>25</v>
      </c>
      <c r="H66" s="6" t="s">
        <v>26</v>
      </c>
      <c r="I66" s="6" t="s">
        <v>74</v>
      </c>
      <c r="J66" s="6" t="s">
        <v>430</v>
      </c>
      <c r="K66" s="6" t="s">
        <v>29</v>
      </c>
      <c r="L66" s="6" t="s">
        <v>66</v>
      </c>
      <c r="M66" s="7" t="s">
        <v>67</v>
      </c>
      <c r="N66" s="7"/>
      <c r="O66" s="6" t="s">
        <v>431</v>
      </c>
      <c r="P66" s="6" t="s">
        <v>432</v>
      </c>
      <c r="Q66" s="6" t="s">
        <v>433</v>
      </c>
      <c r="R66" s="8"/>
      <c r="S66" s="9"/>
      <c r="T66" s="10" t="str">
        <f ca="1">IFERROR(__xludf.DUMMYFUNCTION("REGEXREPLACE(REGEXREPLACE(O66, ""[^0-9]"", """"), ""^620"", ""62"")"),"6282193747447")</f>
        <v>6282193747447</v>
      </c>
    </row>
    <row r="67" spans="1:20" ht="32" x14ac:dyDescent="0.2">
      <c r="A67" s="6" t="s">
        <v>434</v>
      </c>
      <c r="B67" s="6"/>
      <c r="C67" s="6" t="s">
        <v>21</v>
      </c>
      <c r="D67" s="6" t="s">
        <v>88</v>
      </c>
      <c r="E67" s="6" t="s">
        <v>435</v>
      </c>
      <c r="F67" s="6" t="s">
        <v>24</v>
      </c>
      <c r="G67" s="6" t="s">
        <v>25</v>
      </c>
      <c r="H67" s="6" t="s">
        <v>26</v>
      </c>
      <c r="I67" s="6" t="s">
        <v>295</v>
      </c>
      <c r="J67" s="6" t="s">
        <v>436</v>
      </c>
      <c r="K67" s="6" t="s">
        <v>40</v>
      </c>
      <c r="L67" s="6" t="s">
        <v>66</v>
      </c>
      <c r="M67" s="7" t="s">
        <v>57</v>
      </c>
      <c r="N67" s="7" t="s">
        <v>437</v>
      </c>
      <c r="O67" s="6" t="s">
        <v>438</v>
      </c>
      <c r="P67" s="6" t="s">
        <v>439</v>
      </c>
      <c r="Q67" s="6" t="s">
        <v>440</v>
      </c>
      <c r="R67" s="8"/>
      <c r="S67" s="9"/>
      <c r="T67" s="10" t="str">
        <f ca="1">IFERROR(__xludf.DUMMYFUNCTION("REGEXREPLACE(REGEXREPLACE(O67, ""[^0-9]"", """"), ""^620"", ""62"")"),"6282187381329")</f>
        <v>6282187381329</v>
      </c>
    </row>
    <row r="68" spans="1:20" x14ac:dyDescent="0.2">
      <c r="A68" s="6" t="s">
        <v>441</v>
      </c>
      <c r="B68" s="6"/>
      <c r="C68" s="6" t="s">
        <v>21</v>
      </c>
      <c r="D68" s="6" t="s">
        <v>88</v>
      </c>
      <c r="E68" s="6" t="s">
        <v>442</v>
      </c>
      <c r="F68" s="6" t="s">
        <v>24</v>
      </c>
      <c r="G68" s="6" t="s">
        <v>25</v>
      </c>
      <c r="H68" s="6" t="s">
        <v>26</v>
      </c>
      <c r="I68" s="6" t="s">
        <v>295</v>
      </c>
      <c r="J68" s="6" t="s">
        <v>443</v>
      </c>
      <c r="K68" s="6" t="s">
        <v>29</v>
      </c>
      <c r="L68" s="6" t="s">
        <v>66</v>
      </c>
      <c r="M68" s="7" t="s">
        <v>57</v>
      </c>
      <c r="N68" s="7" t="s">
        <v>444</v>
      </c>
      <c r="O68" s="6" t="s">
        <v>445</v>
      </c>
      <c r="P68" s="6"/>
      <c r="Q68" s="6" t="s">
        <v>446</v>
      </c>
      <c r="R68" s="8"/>
      <c r="S68" s="9"/>
      <c r="T68" s="10" t="str">
        <f ca="1">IFERROR(__xludf.DUMMYFUNCTION("REGEXREPLACE(REGEXREPLACE(O68, ""[^0-9]"", """"), ""^620"", ""62"")"),"625241192094")</f>
        <v>625241192094</v>
      </c>
    </row>
    <row r="69" spans="1:20" x14ac:dyDescent="0.2">
      <c r="A69" s="6" t="s">
        <v>447</v>
      </c>
      <c r="B69" s="6"/>
      <c r="C69" s="6" t="s">
        <v>21</v>
      </c>
      <c r="D69" s="6" t="s">
        <v>88</v>
      </c>
      <c r="E69" s="6" t="s">
        <v>448</v>
      </c>
      <c r="F69" s="6" t="s">
        <v>24</v>
      </c>
      <c r="G69" s="6" t="s">
        <v>25</v>
      </c>
      <c r="H69" s="6" t="s">
        <v>26</v>
      </c>
      <c r="I69" s="6" t="s">
        <v>74</v>
      </c>
      <c r="J69" s="6" t="s">
        <v>449</v>
      </c>
      <c r="K69" s="6" t="s">
        <v>40</v>
      </c>
      <c r="L69" s="6" t="s">
        <v>66</v>
      </c>
      <c r="M69" s="7" t="s">
        <v>57</v>
      </c>
      <c r="N69" s="7" t="s">
        <v>450</v>
      </c>
      <c r="O69" s="6" t="s">
        <v>451</v>
      </c>
      <c r="P69" s="6"/>
      <c r="Q69" s="6" t="s">
        <v>452</v>
      </c>
      <c r="R69" s="8"/>
      <c r="S69" s="9"/>
      <c r="T69" s="10" t="str">
        <f ca="1">IFERROR(__xludf.DUMMYFUNCTION("REGEXREPLACE(REGEXREPLACE(O69, ""[^0-9]"", """"), ""^620"", ""62"")"),"6287833358545")</f>
        <v>6287833358545</v>
      </c>
    </row>
    <row r="70" spans="1:20" ht="48" x14ac:dyDescent="0.2">
      <c r="A70" s="6" t="s">
        <v>453</v>
      </c>
      <c r="B70" s="6"/>
      <c r="C70" s="6" t="s">
        <v>21</v>
      </c>
      <c r="D70" s="6" t="s">
        <v>88</v>
      </c>
      <c r="E70" s="6" t="s">
        <v>454</v>
      </c>
      <c r="F70" s="6" t="s">
        <v>24</v>
      </c>
      <c r="G70" s="6" t="s">
        <v>25</v>
      </c>
      <c r="H70" s="6" t="s">
        <v>26</v>
      </c>
      <c r="I70" s="6" t="s">
        <v>118</v>
      </c>
      <c r="J70" s="6" t="s">
        <v>455</v>
      </c>
      <c r="K70" s="6" t="s">
        <v>29</v>
      </c>
      <c r="L70" s="6" t="s">
        <v>66</v>
      </c>
      <c r="M70" s="7" t="s">
        <v>57</v>
      </c>
      <c r="N70" s="7" t="s">
        <v>456</v>
      </c>
      <c r="O70" s="6" t="s">
        <v>457</v>
      </c>
      <c r="P70" s="6" t="s">
        <v>458</v>
      </c>
      <c r="Q70" s="6" t="s">
        <v>459</v>
      </c>
      <c r="R70" s="8"/>
      <c r="S70" s="9"/>
      <c r="T70" s="10" t="str">
        <f ca="1">IFERROR(__xludf.DUMMYFUNCTION("REGEXREPLACE(REGEXREPLACE(O70, ""[^0-9]"", """"), ""^620"", ""62"")"),"6281242676374")</f>
        <v>6281242676374</v>
      </c>
    </row>
    <row r="71" spans="1:20" x14ac:dyDescent="0.2">
      <c r="A71" s="6" t="s">
        <v>460</v>
      </c>
      <c r="B71" s="6"/>
      <c r="C71" s="6" t="s">
        <v>21</v>
      </c>
      <c r="D71" s="6" t="s">
        <v>88</v>
      </c>
      <c r="E71" s="6" t="s">
        <v>461</v>
      </c>
      <c r="F71" s="6" t="s">
        <v>24</v>
      </c>
      <c r="G71" s="6" t="s">
        <v>25</v>
      </c>
      <c r="H71" s="6" t="s">
        <v>26</v>
      </c>
      <c r="I71" s="6" t="s">
        <v>27</v>
      </c>
      <c r="J71" s="6" t="s">
        <v>462</v>
      </c>
      <c r="K71" s="6" t="s">
        <v>29</v>
      </c>
      <c r="L71" s="6" t="s">
        <v>66</v>
      </c>
      <c r="M71" s="7" t="s">
        <v>57</v>
      </c>
      <c r="N71" s="7" t="s">
        <v>463</v>
      </c>
      <c r="O71" s="6" t="s">
        <v>464</v>
      </c>
      <c r="P71" s="6" t="s">
        <v>465</v>
      </c>
      <c r="Q71" s="6" t="s">
        <v>466</v>
      </c>
      <c r="R71" s="8"/>
      <c r="S71" s="9"/>
      <c r="T71" s="10" t="str">
        <f ca="1">IFERROR(__xludf.DUMMYFUNCTION("REGEXREPLACE(REGEXREPLACE(O71, ""[^0-9]"", """"), ""^620"", ""62"")"),"6281354952694")</f>
        <v>6281354952694</v>
      </c>
    </row>
    <row r="72" spans="1:20" ht="32" x14ac:dyDescent="0.2">
      <c r="A72" s="6" t="s">
        <v>467</v>
      </c>
      <c r="B72" s="6"/>
      <c r="C72" s="6" t="s">
        <v>21</v>
      </c>
      <c r="D72" s="6" t="s">
        <v>88</v>
      </c>
      <c r="E72" s="6" t="s">
        <v>468</v>
      </c>
      <c r="F72" s="6" t="s">
        <v>24</v>
      </c>
      <c r="G72" s="6" t="s">
        <v>25</v>
      </c>
      <c r="H72" s="6" t="s">
        <v>26</v>
      </c>
      <c r="I72" s="6" t="s">
        <v>27</v>
      </c>
      <c r="J72" s="6" t="s">
        <v>469</v>
      </c>
      <c r="K72" s="6" t="s">
        <v>29</v>
      </c>
      <c r="L72" s="6" t="s">
        <v>30</v>
      </c>
      <c r="M72" s="7" t="s">
        <v>31</v>
      </c>
      <c r="N72" s="7"/>
      <c r="O72" s="6" t="s">
        <v>470</v>
      </c>
      <c r="P72" s="6"/>
      <c r="Q72" s="6" t="s">
        <v>471</v>
      </c>
      <c r="R72" s="8"/>
      <c r="S72" s="9"/>
      <c r="T72" s="10" t="str">
        <f ca="1">IFERROR(__xludf.DUMMYFUNCTION("REGEXREPLACE(REGEXREPLACE(O72, ""[^0-9]"", """"), ""^620"", ""62"")"),"6285241318095")</f>
        <v>6285241318095</v>
      </c>
    </row>
    <row r="73" spans="1:20" ht="48" x14ac:dyDescent="0.2">
      <c r="A73" s="6" t="s">
        <v>472</v>
      </c>
      <c r="B73" s="6"/>
      <c r="C73" s="6" t="s">
        <v>21</v>
      </c>
      <c r="D73" s="6" t="s">
        <v>88</v>
      </c>
      <c r="E73" s="6" t="s">
        <v>473</v>
      </c>
      <c r="F73" s="6" t="s">
        <v>24</v>
      </c>
      <c r="G73" s="6" t="s">
        <v>25</v>
      </c>
      <c r="H73" s="6" t="s">
        <v>26</v>
      </c>
      <c r="I73" s="6" t="s">
        <v>74</v>
      </c>
      <c r="J73" s="6" t="s">
        <v>474</v>
      </c>
      <c r="K73" s="6" t="s">
        <v>29</v>
      </c>
      <c r="L73" s="6" t="s">
        <v>66</v>
      </c>
      <c r="M73" s="7" t="s">
        <v>50</v>
      </c>
      <c r="N73" s="7"/>
      <c r="O73" s="6" t="s">
        <v>475</v>
      </c>
      <c r="P73" s="6" t="s">
        <v>476</v>
      </c>
      <c r="Q73" s="6" t="s">
        <v>477</v>
      </c>
      <c r="R73" s="8"/>
      <c r="S73" s="9"/>
      <c r="T73" s="10" t="str">
        <f ca="1">IFERROR(__xludf.DUMMYFUNCTION("REGEXREPLACE(REGEXREPLACE(O73, ""[^0-9]"", """"), ""^620"", ""62"")"),"6285340809820")</f>
        <v>6285340809820</v>
      </c>
    </row>
    <row r="74" spans="1:20" ht="32" x14ac:dyDescent="0.2">
      <c r="A74" s="6" t="s">
        <v>478</v>
      </c>
      <c r="B74" s="6"/>
      <c r="C74" s="6" t="s">
        <v>21</v>
      </c>
      <c r="D74" s="6" t="s">
        <v>88</v>
      </c>
      <c r="E74" s="6" t="s">
        <v>479</v>
      </c>
      <c r="F74" s="6" t="s">
        <v>24</v>
      </c>
      <c r="G74" s="6" t="s">
        <v>25</v>
      </c>
      <c r="H74" s="6" t="s">
        <v>26</v>
      </c>
      <c r="I74" s="6" t="s">
        <v>104</v>
      </c>
      <c r="J74" s="6" t="s">
        <v>480</v>
      </c>
      <c r="K74" s="6" t="s">
        <v>40</v>
      </c>
      <c r="L74" s="6" t="s">
        <v>66</v>
      </c>
      <c r="M74" s="7" t="s">
        <v>252</v>
      </c>
      <c r="N74" s="7"/>
      <c r="O74" s="6" t="s">
        <v>481</v>
      </c>
      <c r="P74" s="6" t="s">
        <v>482</v>
      </c>
      <c r="Q74" s="6" t="s">
        <v>483</v>
      </c>
      <c r="R74" s="8"/>
      <c r="S74" s="9"/>
      <c r="T74" s="10" t="str">
        <f ca="1">IFERROR(__xludf.DUMMYFUNCTION("REGEXREPLACE(REGEXREPLACE(O74, ""[^0-9]"", """"), ""^620"", ""62"")"),"6282189603494")</f>
        <v>6282189603494</v>
      </c>
    </row>
    <row r="75" spans="1:20" ht="32" x14ac:dyDescent="0.2">
      <c r="A75" s="6" t="s">
        <v>484</v>
      </c>
      <c r="B75" s="6"/>
      <c r="C75" s="6" t="s">
        <v>21</v>
      </c>
      <c r="D75" s="6" t="s">
        <v>88</v>
      </c>
      <c r="E75" s="6" t="s">
        <v>485</v>
      </c>
      <c r="F75" s="6" t="s">
        <v>24</v>
      </c>
      <c r="G75" s="6" t="s">
        <v>25</v>
      </c>
      <c r="H75" s="6" t="s">
        <v>26</v>
      </c>
      <c r="I75" s="6" t="s">
        <v>47</v>
      </c>
      <c r="J75" s="6" t="s">
        <v>486</v>
      </c>
      <c r="K75" s="6" t="s">
        <v>29</v>
      </c>
      <c r="L75" s="6" t="s">
        <v>66</v>
      </c>
      <c r="M75" s="7" t="s">
        <v>252</v>
      </c>
      <c r="N75" s="7"/>
      <c r="O75" s="6" t="s">
        <v>487</v>
      </c>
      <c r="P75" s="6" t="s">
        <v>488</v>
      </c>
      <c r="Q75" s="6" t="s">
        <v>489</v>
      </c>
      <c r="R75" s="8"/>
      <c r="S75" s="9"/>
      <c r="T75" s="10" t="str">
        <f ca="1">IFERROR(__xludf.DUMMYFUNCTION("REGEXREPLACE(REGEXREPLACE(O75, ""[^0-9]"", """"), ""^620"", ""62"")"),"6285298042379")</f>
        <v>6285298042379</v>
      </c>
    </row>
    <row r="76" spans="1:20" ht="384" x14ac:dyDescent="0.2">
      <c r="A76" s="6" t="s">
        <v>490</v>
      </c>
      <c r="B76" s="6"/>
      <c r="C76" s="6" t="s">
        <v>21</v>
      </c>
      <c r="D76" s="6" t="s">
        <v>88</v>
      </c>
      <c r="E76" s="6" t="s">
        <v>491</v>
      </c>
      <c r="F76" s="6" t="s">
        <v>24</v>
      </c>
      <c r="G76" s="6" t="s">
        <v>25</v>
      </c>
      <c r="H76" s="6" t="s">
        <v>26</v>
      </c>
      <c r="I76" s="6" t="s">
        <v>104</v>
      </c>
      <c r="J76" s="6" t="s">
        <v>492</v>
      </c>
      <c r="K76" s="6" t="s">
        <v>40</v>
      </c>
      <c r="L76" s="6" t="s">
        <v>66</v>
      </c>
      <c r="M76" s="7" t="s">
        <v>252</v>
      </c>
      <c r="N76" s="7"/>
      <c r="O76" s="6" t="s">
        <v>493</v>
      </c>
      <c r="P76" s="6" t="s">
        <v>494</v>
      </c>
      <c r="Q76" s="6" t="s">
        <v>495</v>
      </c>
      <c r="R76" s="8" t="s">
        <v>43</v>
      </c>
      <c r="S76" s="9" t="s">
        <v>496</v>
      </c>
      <c r="T76" s="10" t="str">
        <f ca="1">IFERROR(__xludf.DUMMYFUNCTION("REGEXREPLACE(REGEXREPLACE(O76, ""[^0-9]"", """"), ""^620"", ""62"")"),"6285299896839")</f>
        <v>6285299896839</v>
      </c>
    </row>
    <row r="77" spans="1:20" ht="225" x14ac:dyDescent="0.2">
      <c r="A77" s="6" t="s">
        <v>497</v>
      </c>
      <c r="B77" s="6"/>
      <c r="C77" s="6" t="s">
        <v>21</v>
      </c>
      <c r="D77" s="6" t="s">
        <v>88</v>
      </c>
      <c r="E77" s="6" t="s">
        <v>498</v>
      </c>
      <c r="F77" s="6" t="s">
        <v>24</v>
      </c>
      <c r="G77" s="6" t="s">
        <v>25</v>
      </c>
      <c r="H77" s="6" t="s">
        <v>26</v>
      </c>
      <c r="I77" s="6" t="s">
        <v>295</v>
      </c>
      <c r="J77" s="6" t="s">
        <v>499</v>
      </c>
      <c r="K77" s="6" t="s">
        <v>29</v>
      </c>
      <c r="L77" s="6" t="s">
        <v>66</v>
      </c>
      <c r="M77" s="7" t="s">
        <v>169</v>
      </c>
      <c r="N77" s="7"/>
      <c r="O77" s="6" t="s">
        <v>500</v>
      </c>
      <c r="P77" s="6" t="s">
        <v>501</v>
      </c>
      <c r="Q77" s="6" t="s">
        <v>502</v>
      </c>
      <c r="R77" s="8" t="s">
        <v>43</v>
      </c>
      <c r="S77" s="9" t="s">
        <v>503</v>
      </c>
      <c r="T77" s="10" t="str">
        <f ca="1">IFERROR(__xludf.DUMMYFUNCTION("REGEXREPLACE(REGEXREPLACE(O77, ""[^0-9]"", """"), ""^620"", ""62"")"),"6282293492029")</f>
        <v>6282293492029</v>
      </c>
    </row>
    <row r="78" spans="1:20" ht="300" x14ac:dyDescent="0.2">
      <c r="A78" s="6" t="s">
        <v>504</v>
      </c>
      <c r="B78" s="6"/>
      <c r="C78" s="6" t="s">
        <v>21</v>
      </c>
      <c r="D78" s="6" t="s">
        <v>88</v>
      </c>
      <c r="E78" s="6" t="s">
        <v>505</v>
      </c>
      <c r="F78" s="6" t="s">
        <v>24</v>
      </c>
      <c r="G78" s="6" t="s">
        <v>25</v>
      </c>
      <c r="H78" s="6" t="s">
        <v>26</v>
      </c>
      <c r="I78" s="6" t="s">
        <v>38</v>
      </c>
      <c r="J78" s="6" t="s">
        <v>506</v>
      </c>
      <c r="K78" s="6" t="s">
        <v>29</v>
      </c>
      <c r="L78" s="6" t="s">
        <v>66</v>
      </c>
      <c r="M78" s="7" t="s">
        <v>252</v>
      </c>
      <c r="N78" s="7"/>
      <c r="O78" s="6" t="s">
        <v>507</v>
      </c>
      <c r="P78" s="6" t="s">
        <v>508</v>
      </c>
      <c r="Q78" s="6" t="s">
        <v>509</v>
      </c>
      <c r="R78" s="8" t="s">
        <v>43</v>
      </c>
      <c r="S78" s="9" t="s">
        <v>510</v>
      </c>
      <c r="T78" s="10" t="str">
        <f ca="1">IFERROR(__xludf.DUMMYFUNCTION("REGEXREPLACE(REGEXREPLACE(O78, ""[^0-9]"", """"), ""^620"", ""62"")"),"6282346013564")</f>
        <v>6282346013564</v>
      </c>
    </row>
    <row r="79" spans="1:20" ht="255" x14ac:dyDescent="0.2">
      <c r="A79" s="6" t="s">
        <v>511</v>
      </c>
      <c r="B79" s="6"/>
      <c r="C79" s="6" t="s">
        <v>21</v>
      </c>
      <c r="D79" s="6" t="s">
        <v>88</v>
      </c>
      <c r="E79" s="6" t="s">
        <v>491</v>
      </c>
      <c r="F79" s="6" t="s">
        <v>24</v>
      </c>
      <c r="G79" s="6" t="s">
        <v>25</v>
      </c>
      <c r="H79" s="6" t="s">
        <v>26</v>
      </c>
      <c r="I79" s="6" t="s">
        <v>104</v>
      </c>
      <c r="J79" s="6" t="s">
        <v>512</v>
      </c>
      <c r="K79" s="6" t="s">
        <v>29</v>
      </c>
      <c r="L79" s="6" t="s">
        <v>66</v>
      </c>
      <c r="M79" s="7" t="s">
        <v>252</v>
      </c>
      <c r="N79" s="7"/>
      <c r="O79" s="6" t="s">
        <v>513</v>
      </c>
      <c r="P79" s="6" t="s">
        <v>514</v>
      </c>
      <c r="Q79" s="6" t="s">
        <v>515</v>
      </c>
      <c r="R79" s="8" t="s">
        <v>43</v>
      </c>
      <c r="S79" s="9" t="s">
        <v>516</v>
      </c>
      <c r="T79" s="10" t="str">
        <f ca="1">IFERROR(__xludf.DUMMYFUNCTION("REGEXREPLACE(REGEXREPLACE(O79, ""[^0-9]"", """"), ""^620"", ""62"")"),"628296085931")</f>
        <v>628296085931</v>
      </c>
    </row>
    <row r="80" spans="1:20" ht="150" x14ac:dyDescent="0.2">
      <c r="A80" s="6" t="s">
        <v>517</v>
      </c>
      <c r="B80" s="6"/>
      <c r="C80" s="6" t="s">
        <v>21</v>
      </c>
      <c r="D80" s="6" t="s">
        <v>88</v>
      </c>
      <c r="E80" s="6" t="s">
        <v>461</v>
      </c>
      <c r="F80" s="6" t="s">
        <v>24</v>
      </c>
      <c r="G80" s="6" t="s">
        <v>25</v>
      </c>
      <c r="H80" s="6" t="s">
        <v>26</v>
      </c>
      <c r="I80" s="6" t="s">
        <v>27</v>
      </c>
      <c r="J80" s="6" t="s">
        <v>518</v>
      </c>
      <c r="K80" s="6" t="s">
        <v>29</v>
      </c>
      <c r="L80" s="6" t="s">
        <v>30</v>
      </c>
      <c r="M80" s="7" t="s">
        <v>31</v>
      </c>
      <c r="N80" s="7"/>
      <c r="O80" s="6" t="s">
        <v>519</v>
      </c>
      <c r="P80" s="6"/>
      <c r="Q80" s="6" t="s">
        <v>520</v>
      </c>
      <c r="R80" s="8" t="s">
        <v>35</v>
      </c>
      <c r="S80" s="9" t="s">
        <v>521</v>
      </c>
      <c r="T80" s="10" t="str">
        <f ca="1">IFERROR(__xludf.DUMMYFUNCTION("REGEXREPLACE(REGEXREPLACE(O80, ""[^0-9]"", """"), ""^620"", ""62"")"),"6281244852299")</f>
        <v>6281244852299</v>
      </c>
    </row>
    <row r="81" spans="1:20" ht="210" x14ac:dyDescent="0.2">
      <c r="A81" s="6" t="s">
        <v>522</v>
      </c>
      <c r="B81" s="6"/>
      <c r="C81" s="6" t="s">
        <v>21</v>
      </c>
      <c r="D81" s="6" t="s">
        <v>88</v>
      </c>
      <c r="E81" s="6" t="s">
        <v>523</v>
      </c>
      <c r="F81" s="6" t="s">
        <v>24</v>
      </c>
      <c r="G81" s="6" t="s">
        <v>25</v>
      </c>
      <c r="H81" s="6" t="s">
        <v>26</v>
      </c>
      <c r="I81" s="6" t="s">
        <v>74</v>
      </c>
      <c r="J81" s="6" t="s">
        <v>524</v>
      </c>
      <c r="K81" s="6" t="s">
        <v>40</v>
      </c>
      <c r="L81" s="6" t="s">
        <v>30</v>
      </c>
      <c r="M81" s="7" t="s">
        <v>31</v>
      </c>
      <c r="N81" s="7"/>
      <c r="O81" s="6" t="s">
        <v>525</v>
      </c>
      <c r="P81" s="6" t="s">
        <v>526</v>
      </c>
      <c r="Q81" s="6" t="s">
        <v>527</v>
      </c>
      <c r="R81" s="8"/>
      <c r="S81" s="9" t="s">
        <v>528</v>
      </c>
      <c r="T81" s="10" t="str">
        <f ca="1">IFERROR(__xludf.DUMMYFUNCTION("REGEXREPLACE(REGEXREPLACE(O81, ""[^0-9]"", """"), ""^620"", ""62"")"),"6282347821942")</f>
        <v>6282347821942</v>
      </c>
    </row>
    <row r="82" spans="1:20" ht="150" x14ac:dyDescent="0.2">
      <c r="A82" s="6" t="s">
        <v>529</v>
      </c>
      <c r="B82" s="6"/>
      <c r="C82" s="6" t="s">
        <v>21</v>
      </c>
      <c r="D82" s="6" t="s">
        <v>88</v>
      </c>
      <c r="E82" s="6" t="s">
        <v>530</v>
      </c>
      <c r="F82" s="6" t="s">
        <v>24</v>
      </c>
      <c r="G82" s="6" t="s">
        <v>25</v>
      </c>
      <c r="H82" s="6" t="s">
        <v>26</v>
      </c>
      <c r="I82" s="6" t="s">
        <v>27</v>
      </c>
      <c r="J82" s="6" t="s">
        <v>531</v>
      </c>
      <c r="K82" s="6" t="s">
        <v>40</v>
      </c>
      <c r="L82" s="6" t="s">
        <v>30</v>
      </c>
      <c r="M82" s="7" t="s">
        <v>31</v>
      </c>
      <c r="N82" s="7"/>
      <c r="O82" s="6" t="s">
        <v>532</v>
      </c>
      <c r="P82" s="6" t="s">
        <v>533</v>
      </c>
      <c r="Q82" s="6" t="s">
        <v>534</v>
      </c>
      <c r="R82" s="8" t="s">
        <v>35</v>
      </c>
      <c r="S82" s="9" t="s">
        <v>521</v>
      </c>
      <c r="T82" s="10" t="str">
        <f ca="1">IFERROR(__xludf.DUMMYFUNCTION("REGEXREPLACE(REGEXREPLACE(O82, ""[^0-9]"", """"), ""^620"", ""62"")"),"6285255975469")</f>
        <v>6285255975469</v>
      </c>
    </row>
    <row r="83" spans="1:20" ht="150" x14ac:dyDescent="0.2">
      <c r="A83" s="6" t="s">
        <v>535</v>
      </c>
      <c r="B83" s="6"/>
      <c r="C83" s="6" t="s">
        <v>21</v>
      </c>
      <c r="D83" s="6" t="s">
        <v>22</v>
      </c>
      <c r="E83" s="6" t="s">
        <v>536</v>
      </c>
      <c r="F83" s="6" t="s">
        <v>24</v>
      </c>
      <c r="G83" s="6" t="s">
        <v>25</v>
      </c>
      <c r="H83" s="6" t="s">
        <v>26</v>
      </c>
      <c r="I83" s="6" t="s">
        <v>74</v>
      </c>
      <c r="J83" s="6" t="s">
        <v>537</v>
      </c>
      <c r="K83" s="6" t="s">
        <v>40</v>
      </c>
      <c r="L83" s="6" t="s">
        <v>148</v>
      </c>
      <c r="M83" s="7" t="s">
        <v>50</v>
      </c>
      <c r="N83" s="7"/>
      <c r="O83" s="6" t="s">
        <v>538</v>
      </c>
      <c r="P83" s="6" t="s">
        <v>539</v>
      </c>
      <c r="Q83" s="6" t="s">
        <v>540</v>
      </c>
      <c r="R83" s="8" t="s">
        <v>35</v>
      </c>
      <c r="S83" s="9" t="s">
        <v>541</v>
      </c>
      <c r="T83" s="10" t="str">
        <f ca="1">IFERROR(__xludf.DUMMYFUNCTION("REGEXREPLACE(REGEXREPLACE(O83, ""[^0-9]"", """"), ""^620"", ""62"")"),"6285256133730")</f>
        <v>6285256133730</v>
      </c>
    </row>
    <row r="84" spans="1:20" ht="165" x14ac:dyDescent="0.2">
      <c r="A84" s="6" t="s">
        <v>542</v>
      </c>
      <c r="B84" s="6"/>
      <c r="C84" s="6" t="s">
        <v>21</v>
      </c>
      <c r="D84" s="6" t="s">
        <v>22</v>
      </c>
      <c r="E84" s="6" t="s">
        <v>543</v>
      </c>
      <c r="F84" s="6" t="s">
        <v>24</v>
      </c>
      <c r="G84" s="6" t="s">
        <v>25</v>
      </c>
      <c r="H84" s="6" t="s">
        <v>26</v>
      </c>
      <c r="I84" s="6" t="s">
        <v>64</v>
      </c>
      <c r="J84" s="6" t="s">
        <v>544</v>
      </c>
      <c r="K84" s="6" t="s">
        <v>29</v>
      </c>
      <c r="L84" s="6" t="s">
        <v>30</v>
      </c>
      <c r="M84" s="7" t="s">
        <v>31</v>
      </c>
      <c r="N84" s="7"/>
      <c r="O84" s="6" t="s">
        <v>545</v>
      </c>
      <c r="P84" s="6"/>
      <c r="Q84" s="6" t="s">
        <v>546</v>
      </c>
      <c r="R84" s="8" t="s">
        <v>43</v>
      </c>
      <c r="S84" s="9" t="s">
        <v>547</v>
      </c>
      <c r="T84" s="10" t="str">
        <f ca="1">IFERROR(__xludf.DUMMYFUNCTION("REGEXREPLACE(REGEXREPLACE(O84, ""[^0-9]"", """"), ""^620"", ""62"")"),"6281356478734")</f>
        <v>6281356478734</v>
      </c>
    </row>
    <row r="85" spans="1:20" ht="180" x14ac:dyDescent="0.2">
      <c r="A85" s="6" t="s">
        <v>548</v>
      </c>
      <c r="B85" s="6"/>
      <c r="C85" s="6" t="s">
        <v>21</v>
      </c>
      <c r="D85" s="6" t="s">
        <v>72</v>
      </c>
      <c r="E85" s="6" t="s">
        <v>549</v>
      </c>
      <c r="F85" s="6" t="s">
        <v>24</v>
      </c>
      <c r="G85" s="6" t="s">
        <v>25</v>
      </c>
      <c r="H85" s="6" t="s">
        <v>26</v>
      </c>
      <c r="I85" s="6" t="s">
        <v>27</v>
      </c>
      <c r="J85" s="6" t="s">
        <v>550</v>
      </c>
      <c r="K85" s="6" t="s">
        <v>29</v>
      </c>
      <c r="L85" s="6" t="s">
        <v>66</v>
      </c>
      <c r="M85" s="7" t="s">
        <v>83</v>
      </c>
      <c r="N85" s="7"/>
      <c r="O85" s="6" t="s">
        <v>551</v>
      </c>
      <c r="P85" s="6"/>
      <c r="Q85" s="6" t="s">
        <v>552</v>
      </c>
      <c r="R85" s="8" t="s">
        <v>43</v>
      </c>
      <c r="S85" s="9" t="s">
        <v>553</v>
      </c>
      <c r="T85" s="10" t="str">
        <f ca="1">IFERROR(__xludf.DUMMYFUNCTION("REGEXREPLACE(REGEXREPLACE(O85, ""[^0-9]"", """"), ""^620"", ""62"")"),"6283899398108")</f>
        <v>6283899398108</v>
      </c>
    </row>
    <row r="86" spans="1:20" ht="342" x14ac:dyDescent="0.2">
      <c r="A86" s="6" t="s">
        <v>554</v>
      </c>
      <c r="B86" s="6"/>
      <c r="C86" s="6" t="s">
        <v>21</v>
      </c>
      <c r="D86" s="6" t="s">
        <v>22</v>
      </c>
      <c r="E86" s="6" t="s">
        <v>555</v>
      </c>
      <c r="F86" s="6" t="s">
        <v>24</v>
      </c>
      <c r="G86" s="6" t="s">
        <v>25</v>
      </c>
      <c r="H86" s="6" t="s">
        <v>26</v>
      </c>
      <c r="I86" s="6" t="s">
        <v>27</v>
      </c>
      <c r="J86" s="6" t="s">
        <v>556</v>
      </c>
      <c r="K86" s="6" t="s">
        <v>29</v>
      </c>
      <c r="L86" s="6" t="s">
        <v>66</v>
      </c>
      <c r="M86" s="7" t="s">
        <v>50</v>
      </c>
      <c r="N86" s="7"/>
      <c r="O86" s="6" t="s">
        <v>557</v>
      </c>
      <c r="P86" s="6" t="s">
        <v>558</v>
      </c>
      <c r="Q86" s="6" t="s">
        <v>559</v>
      </c>
      <c r="R86" s="8" t="s">
        <v>43</v>
      </c>
      <c r="S86" s="9" t="s">
        <v>560</v>
      </c>
      <c r="T86" s="10" t="str">
        <f ca="1">IFERROR(__xludf.DUMMYFUNCTION("REGEXREPLACE(REGEXREPLACE(O86, ""[^0-9]"", """"), ""^620"", ""62"")"),"6282347385055")</f>
        <v>6282347385055</v>
      </c>
    </row>
    <row r="87" spans="1:20" ht="225" x14ac:dyDescent="0.2">
      <c r="A87" s="6" t="s">
        <v>561</v>
      </c>
      <c r="B87" s="6"/>
      <c r="C87" s="6" t="s">
        <v>21</v>
      </c>
      <c r="D87" s="6" t="s">
        <v>22</v>
      </c>
      <c r="E87" s="6" t="s">
        <v>562</v>
      </c>
      <c r="F87" s="6" t="s">
        <v>24</v>
      </c>
      <c r="G87" s="6" t="s">
        <v>25</v>
      </c>
      <c r="H87" s="6" t="s">
        <v>26</v>
      </c>
      <c r="I87" s="6" t="s">
        <v>118</v>
      </c>
      <c r="J87" s="6" t="s">
        <v>563</v>
      </c>
      <c r="K87" s="6" t="s">
        <v>40</v>
      </c>
      <c r="L87" s="6" t="s">
        <v>30</v>
      </c>
      <c r="M87" s="7" t="s">
        <v>83</v>
      </c>
      <c r="N87" s="7"/>
      <c r="O87" s="6" t="s">
        <v>564</v>
      </c>
      <c r="P87" s="6"/>
      <c r="Q87" s="6" t="s">
        <v>565</v>
      </c>
      <c r="R87" s="8" t="s">
        <v>43</v>
      </c>
      <c r="S87" s="9" t="s">
        <v>566</v>
      </c>
      <c r="T87" s="10" t="str">
        <f ca="1">IFERROR(__xludf.DUMMYFUNCTION("REGEXREPLACE(REGEXREPLACE(O87, ""[^0-9]"", """"), ""^620"", ""62"")"),"6285242659671")</f>
        <v>6285242659671</v>
      </c>
    </row>
  </sheetData>
  <dataValidations count="1">
    <dataValidation type="list" allowBlank="1" showErrorMessage="1" sqref="R2:R87" xr:uid="{B9E4CD10-3010-6A4C-B166-20F047E493ED}">
      <formula1>"Lolos,Tidak,Perlu dicek"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Gunawan S.ST M.Si</dc:creator>
  <cp:lastModifiedBy>Ahmad Gunawan S.ST M.Si</cp:lastModifiedBy>
  <dcterms:created xsi:type="dcterms:W3CDTF">2025-11-15T13:23:41Z</dcterms:created>
  <dcterms:modified xsi:type="dcterms:W3CDTF">2025-11-15T13:24:15Z</dcterms:modified>
</cp:coreProperties>
</file>