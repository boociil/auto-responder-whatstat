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45ECC0BD-0FEA-9E49-9550-6AE95B15A8D3}" xr6:coauthVersionLast="47" xr6:coauthVersionMax="47" xr10:uidLastSave="{00000000-0000-0000-0000-000000000000}"/>
  <bookViews>
    <workbookView xWindow="5580" yWindow="3920" windowWidth="27640" windowHeight="16940" xr2:uid="{33D2B069-1675-E84F-AFDE-DC4AAA05A70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9" i="1" l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<sst xmlns="http://schemas.openxmlformats.org/spreadsheetml/2006/main" count="1123" uniqueCount="463">
  <si>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</si>
  <si>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</si>
  <si>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</si>
  <si>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</si>
  <si>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</si>
  <si>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</si>
  <si>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</si>
  <si>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</si>
  <si>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</si>
  <si>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</si>
  <si>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</si>
  <si>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</si>
  <si>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</si>
  <si>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</si>
  <si>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</si>
  <si>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</si>
  <si>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</si>
  <si>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</si>
  <si>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</si>
  <si>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Filmayani</t>
  </si>
  <si>
    <t>Belum Konfirmasi</t>
  </si>
  <si>
    <t>Mitra Pendataan</t>
  </si>
  <si>
    <t>Bababulo</t>
  </si>
  <si>
    <t>76</t>
  </si>
  <si>
    <t>01</t>
  </si>
  <si>
    <t>020</t>
  </si>
  <si>
    <t>002</t>
  </si>
  <si>
    <t>, 02 Maret 1998 (27)</t>
  </si>
  <si>
    <t>Pr</t>
  </si>
  <si>
    <t>Tamat D1/D2/D3</t>
  </si>
  <si>
    <t>Kader PKK / Karang Taruna / Kader Lainnya</t>
  </si>
  <si>
    <t>+62 856-9676-4761</t>
  </si>
  <si>
    <t>ffilmayani@gmail.com</t>
  </si>
  <si>
    <t>Lolos</t>
  </si>
  <si>
    <t>Rospika</t>
  </si>
  <si>
    <t>Mitra (Pendataan dan Pengolahan)</t>
  </si>
  <si>
    <t>Adolang</t>
  </si>
  <si>
    <t>006</t>
  </si>
  <si>
    <t>, 13 Juli 1994 (31)</t>
  </si>
  <si>
    <t>Tamat D4/S1</t>
  </si>
  <si>
    <t>+62 857-9630-7550</t>
  </si>
  <si>
    <t>760122030024</t>
  </si>
  <si>
    <t>rospikatahir13@gmail.com</t>
  </si>
  <si>
    <t>Perlu dicek</t>
  </si>
  <si>
    <t>Tidak punya motor dan tidak bisa mengendarai motor</t>
  </si>
  <si>
    <t>Ardaniah hasan</t>
  </si>
  <si>
    <t>Dusun Kaida Desa Tinambung</t>
  </si>
  <si>
    <t>011</t>
  </si>
  <si>
    <t>, 17 Juli 1994 (31)</t>
  </si>
  <si>
    <t>Tamat SMS/Sederajat</t>
  </si>
  <si>
    <t>Wiraswasta</t>
  </si>
  <si>
    <t>+62 082-1578-47968</t>
  </si>
  <si>
    <t>maryamardaniah161@gmail.com</t>
  </si>
  <si>
    <t>Tidak muncul data administrasi dan keterangannya</t>
  </si>
  <si>
    <t>Muhammad Zaky Yassin</t>
  </si>
  <si>
    <t>Jalan Sanjata No. 48 Lingkungan Galung-Galung, Rt001, Rw002</t>
  </si>
  <si>
    <t>004</t>
  </si>
  <si>
    <t>, 14 Juni 2003 (22)</t>
  </si>
  <si>
    <t>Lk</t>
  </si>
  <si>
    <t>Lainnya</t>
  </si>
  <si>
    <t>Sedang tidak bekerja</t>
  </si>
  <si>
    <t>+62 821-9315-4729</t>
  </si>
  <si>
    <t>mzakyyss3@gmail.com</t>
  </si>
  <si>
    <t>Ninita Reski</t>
  </si>
  <si>
    <t>Lingkungan Galung-Galung</t>
  </si>
  <si>
    <t>, 17 Agustus 1998 (27)</t>
  </si>
  <si>
    <t>Mengurus Rumah Tangga</t>
  </si>
  <si>
    <t>+62 082-1192-30113</t>
  </si>
  <si>
    <t>ninitareski18@gmail.com</t>
  </si>
  <si>
    <t xml:space="preserve">Sri nur islah julianti </t>
  </si>
  <si>
    <t>jalan mesjid raya</t>
  </si>
  <si>
    <t>, 17 Juli 2001 (24)</t>
  </si>
  <si>
    <t>Pelajar / Mahasiswa</t>
  </si>
  <si>
    <t>+62 815-2711-0743</t>
  </si>
  <si>
    <t>sryjulianti914@gmail.com</t>
  </si>
  <si>
    <t>MUHAMMAD ABY RAFDI</t>
  </si>
  <si>
    <t>Jln Pendidikan, Kelurahan Lalampanua, Kecamatan Pamboang</t>
  </si>
  <si>
    <t>, 28 April 2001 (24)</t>
  </si>
  <si>
    <t>Pegawai / Guru Honorer</t>
  </si>
  <si>
    <t>+62 851-7100-4902</t>
  </si>
  <si>
    <t>abyeudaimonia28@gmail.com</t>
  </si>
  <si>
    <t>NUR ALFIAH</t>
  </si>
  <si>
    <t xml:space="preserve">Jalan dermaga sappolongan </t>
  </si>
  <si>
    <t>PENAJAM PASER UTARA, 16 Maret 2000 (25)</t>
  </si>
  <si>
    <t>+62 822-1377-4465</t>
  </si>
  <si>
    <t>anur54021@gmail.com</t>
  </si>
  <si>
    <t>tidak ada pas foto, selebihnya oke</t>
  </si>
  <si>
    <t>Muh.Yogi Ardahali</t>
  </si>
  <si>
    <t>Jl. Ammanah pattolawali</t>
  </si>
  <si>
    <t>KOLAKA, 15 November 2001 (24)</t>
  </si>
  <si>
    <t>+62 821-9721-5146</t>
  </si>
  <si>
    <t>yogiardahali1511@gmail.com</t>
  </si>
  <si>
    <t>Marwan Muharram</t>
  </si>
  <si>
    <t>Galung-galung jalan pendidikan</t>
  </si>
  <si>
    <t>MAJENE, 01 Mei 1998 (27)</t>
  </si>
  <si>
    <t>Photografer</t>
  </si>
  <si>
    <t>+62 081-3928-31906</t>
  </si>
  <si>
    <t>Syafiimuh405@gmail.com</t>
  </si>
  <si>
    <t>HASIM</t>
  </si>
  <si>
    <t>Dusun Karappuang desa adolang</t>
  </si>
  <si>
    <t>MAJENE, 24 April 1994 (31)</t>
  </si>
  <si>
    <t>+62 085-8326-56709</t>
  </si>
  <si>
    <t>hasimtopamboang@gmail.com</t>
  </si>
  <si>
    <t>Muh Kahfi</t>
  </si>
  <si>
    <t xml:space="preserve">Jalan Pelabuhan </t>
  </si>
  <si>
    <t>MAJENE, 10 Maret 1999 (26)</t>
  </si>
  <si>
    <t>+62 852-5536-1509</t>
  </si>
  <si>
    <t>muhkahfi10031999@gmail.com</t>
  </si>
  <si>
    <t>Mujiba Rahmi</t>
  </si>
  <si>
    <t>Dusun Bababulo</t>
  </si>
  <si>
    <t>MAJENE, 16 April 2000 (25)</t>
  </si>
  <si>
    <t>+62 852-5614-5071</t>
  </si>
  <si>
    <t>mujibarahmi16@gmail.com</t>
  </si>
  <si>
    <t>Jumadil Jumadil</t>
  </si>
  <si>
    <t xml:space="preserve">RT 2 Rattelasse </t>
  </si>
  <si>
    <t>013</t>
  </si>
  <si>
    <t>MAJENE, 23 Januari 2004 (21)</t>
  </si>
  <si>
    <t>+62 082-2464-23495</t>
  </si>
  <si>
    <t>jumadiljasman@gmail.com</t>
  </si>
  <si>
    <t>Tidak</t>
  </si>
  <si>
    <t>tidak ada ktp dan ijazah</t>
  </si>
  <si>
    <t>Abdul Rahman</t>
  </si>
  <si>
    <t>Dusun Panawar</t>
  </si>
  <si>
    <t>MAJENE, 28 Februari 1996 (29)</t>
  </si>
  <si>
    <t>+62 838-9409-3796</t>
  </si>
  <si>
    <t>Rahman.unsulbar@gmail.com</t>
  </si>
  <si>
    <t>NUR ASNITA EKA MUSRIFAH TAQWA</t>
  </si>
  <si>
    <t>Mitra Pengolahan</t>
  </si>
  <si>
    <t>Dusun Sappu RT 001</t>
  </si>
  <si>
    <t>MAJENE, 08 Oktober 1997 (28)</t>
  </si>
  <si>
    <t>Freelancer</t>
  </si>
  <si>
    <t>+62 852-5614-7894</t>
  </si>
  <si>
    <t>760123110145</t>
  </si>
  <si>
    <t>nurasnitaekamusrifah@gmail.com</t>
  </si>
  <si>
    <t>Muhammad Suud</t>
  </si>
  <si>
    <t>Luaor</t>
  </si>
  <si>
    <t>001</t>
  </si>
  <si>
    <t>MAJENE, 06 Juli 1993 (32)</t>
  </si>
  <si>
    <t>Belum Bekerja</t>
  </si>
  <si>
    <t>+62 812-4141-5481</t>
  </si>
  <si>
    <t>760122090139</t>
  </si>
  <si>
    <t>muhammadsuud93@gmail.com</t>
  </si>
  <si>
    <t>NURHAYATI</t>
  </si>
  <si>
    <t>Desa Betteng</t>
  </si>
  <si>
    <t>005</t>
  </si>
  <si>
    <t>MAJENE, 28 Juni 2000 (25)</t>
  </si>
  <si>
    <t>Ibu Rumah Tangga</t>
  </si>
  <si>
    <t>+62 812-4533-7639</t>
  </si>
  <si>
    <t>760123110240</t>
  </si>
  <si>
    <t>hayatinurhayati2903@gmail.com</t>
  </si>
  <si>
    <t>Megawati gading putri</t>
  </si>
  <si>
    <t>Pamboang</t>
  </si>
  <si>
    <t>MAJENE, 17 Agustus 1994 (31)</t>
  </si>
  <si>
    <t>+62 821-9743-7602</t>
  </si>
  <si>
    <t>760122020004</t>
  </si>
  <si>
    <t>megawatigp94@gmail.com</t>
  </si>
  <si>
    <t>Alamat beda dengan KTP</t>
  </si>
  <si>
    <t>ADRIAH</t>
  </si>
  <si>
    <t>Dusun Luaor</t>
  </si>
  <si>
    <t>MAJENE, 03 Oktober 1996 (29)</t>
  </si>
  <si>
    <t>+62 852-5721-9153</t>
  </si>
  <si>
    <t>760122020015</t>
  </si>
  <si>
    <t>adriahlia57@gmail.com</t>
  </si>
  <si>
    <t>Muhammad Faisal</t>
  </si>
  <si>
    <t>Jalan Poros Majene Mamuju</t>
  </si>
  <si>
    <t>MAJENE, 09 November 2002 (23)</t>
  </si>
  <si>
    <t>+62 083-8706-32017</t>
  </si>
  <si>
    <t>fasterical@gmail.com</t>
  </si>
  <si>
    <t>Muhammad Masyar</t>
  </si>
  <si>
    <t>Desa bonde kecamatan pamboang kabupaten majene</t>
  </si>
  <si>
    <t>MAJENE, 20 Mei 2002 (23)</t>
  </si>
  <si>
    <t xml:space="preserve">Lainnya </t>
  </si>
  <si>
    <t>+62 857-5675-6020</t>
  </si>
  <si>
    <t>madzarmuhammad@gmail.com</t>
  </si>
  <si>
    <t>Tidak ada KTP dan Ijazah</t>
  </si>
  <si>
    <t>Muhammad Rifqi</t>
  </si>
  <si>
    <t>Jln Poros majene mamuju, desa bonde kecamatan pamboang</t>
  </si>
  <si>
    <t>MAJENE, 25 September 1997 (28)</t>
  </si>
  <si>
    <t>Pelaut</t>
  </si>
  <si>
    <t>+62 823-5242-0520</t>
  </si>
  <si>
    <t>rifqiikki25@gmail.com</t>
  </si>
  <si>
    <t>Foto KTP hanya setengah</t>
  </si>
  <si>
    <t>Faldi</t>
  </si>
  <si>
    <t xml:space="preserve">Kampung Baru Bonde Utara </t>
  </si>
  <si>
    <t>008</t>
  </si>
  <si>
    <t>MAJENE, 27 November 2001 (23)</t>
  </si>
  <si>
    <t>+62 822-9909-4938</t>
  </si>
  <si>
    <t>faldi.namaku@gmail.com</t>
  </si>
  <si>
    <t>Dewi Angraeni</t>
  </si>
  <si>
    <t>Dusun Kawero</t>
  </si>
  <si>
    <t>009</t>
  </si>
  <si>
    <t>MAJENE, 18 Juni 1993 (32)</t>
  </si>
  <si>
    <t>+62 853-4888-0247</t>
  </si>
  <si>
    <t>dewiangraeni254@gmail.com</t>
  </si>
  <si>
    <t>RAHMA</t>
  </si>
  <si>
    <t>Dusun Sappolongan Desa Tinambung</t>
  </si>
  <si>
    <t>MAJENE, 26 September 2002 (23)</t>
  </si>
  <si>
    <t>-</t>
  </si>
  <si>
    <t>+62 823-9456-2721</t>
  </si>
  <si>
    <t>rahmamajene02@gmail.com</t>
  </si>
  <si>
    <t>Nurfadilah</t>
  </si>
  <si>
    <t>Galung-galung, RT 001 / RW 002</t>
  </si>
  <si>
    <t>MAJENE, 12 Desember 2000 (25)</t>
  </si>
  <si>
    <t>+62 857-4661-5069</t>
  </si>
  <si>
    <t>nurfadilah121220@gmail.com</t>
  </si>
  <si>
    <t>MUHAMMAD ALI AKBAR</t>
  </si>
  <si>
    <t xml:space="preserve">Jalan Poros Majene Mamuju Kel. Sirindu Kec. Pamboang Kab. Majene </t>
  </si>
  <si>
    <t>007</t>
  </si>
  <si>
    <t>MAJENE, 28 Oktober 1998 (27)</t>
  </si>
  <si>
    <t>+62 813-9268-6930</t>
  </si>
  <si>
    <t>760123110082</t>
  </si>
  <si>
    <t>akbarali281098@gmail.com</t>
  </si>
  <si>
    <t>Tidak ada history survey diterima 24-25</t>
  </si>
  <si>
    <t>Sartina</t>
  </si>
  <si>
    <t>Dusun timbogading utara desa betteng kec.pamboang</t>
  </si>
  <si>
    <t>MAJENE, 10 November 1998 (27)</t>
  </si>
  <si>
    <t>+62 858-4538-3821</t>
  </si>
  <si>
    <t>760123110181</t>
  </si>
  <si>
    <t>sartinakaco1234@gmail.com</t>
  </si>
  <si>
    <t>Munawarah</t>
  </si>
  <si>
    <t>Kelurahan sirindu, RW 01 SIRINDU</t>
  </si>
  <si>
    <t>MAJENE, 10 November 1994 (31)</t>
  </si>
  <si>
    <t>+62 878-6396-6050</t>
  </si>
  <si>
    <t>760123110057</t>
  </si>
  <si>
    <t>munawarah0853@gmail.com</t>
  </si>
  <si>
    <t>Nurhardianti Mukhtar</t>
  </si>
  <si>
    <t>Depan SDN No. 17 Galung-Galung, Jalan Ammana Pattolawali Poros Majene-Mamuju</t>
  </si>
  <si>
    <t>MAJENE, 24 Januari 1997 (28)</t>
  </si>
  <si>
    <t>+62 853-4075-6810</t>
  </si>
  <si>
    <t>760123060007</t>
  </si>
  <si>
    <t>diyanmukhtar@gmail.com</t>
  </si>
  <si>
    <t>Erawati</t>
  </si>
  <si>
    <t>Panawar</t>
  </si>
  <si>
    <t>MAJENE, 02 Juli 1999 (26)</t>
  </si>
  <si>
    <t>+62 877-1651-4997</t>
  </si>
  <si>
    <t>erawati615809@gmail.com</t>
  </si>
  <si>
    <t>Hafiz Majene</t>
  </si>
  <si>
    <t>Dusun Saleppa Desa Bababulo Utara Kec. Pamboang</t>
  </si>
  <si>
    <t>MAJENE, 01 Februari 2002 (23)</t>
  </si>
  <si>
    <t>+62 822-4542-6583</t>
  </si>
  <si>
    <t>hafizmajene254@gmail.com</t>
  </si>
  <si>
    <t>Nama tidak sesuai dengan KTP</t>
  </si>
  <si>
    <t>NURHIDAYAH</t>
  </si>
  <si>
    <t>Pesapoang Timur</t>
  </si>
  <si>
    <t>MAJENE, 24 Januari 1996 (29)</t>
  </si>
  <si>
    <t>HONORER</t>
  </si>
  <si>
    <t>+62 082-1950-35530</t>
  </si>
  <si>
    <t>760122090101</t>
  </si>
  <si>
    <t>dnurhidayah126@gmail.com</t>
  </si>
  <si>
    <t xml:space="preserve">Sulemana </t>
  </si>
  <si>
    <t>Dusun Rea-Rea Timur, Desa Bonde Utara</t>
  </si>
  <si>
    <t>MAJENE, 20 September 1999 (26)</t>
  </si>
  <si>
    <t>+62 813-5601-8196</t>
  </si>
  <si>
    <t>760122090104</t>
  </si>
  <si>
    <t>sulemanahanafiq@gmail.com</t>
  </si>
  <si>
    <t>Riswan</t>
  </si>
  <si>
    <t>Bababulo utara</t>
  </si>
  <si>
    <t>MAJENE, 01 April 1996 (29)</t>
  </si>
  <si>
    <t>+62 082-9367-8561</t>
  </si>
  <si>
    <t>760122090098</t>
  </si>
  <si>
    <t>r808271@gmail.com</t>
  </si>
  <si>
    <t xml:space="preserve">Muhammad Zulhairin Yassin </t>
  </si>
  <si>
    <t>MAJENE, 16 Juni 1997 (28)</t>
  </si>
  <si>
    <t xml:space="preserve">Kerja lepas </t>
  </si>
  <si>
    <t>+62 853-6373-9180</t>
  </si>
  <si>
    <t>760123030025</t>
  </si>
  <si>
    <t>zulhairin16@gmail.com</t>
  </si>
  <si>
    <t>Wahyuddin</t>
  </si>
  <si>
    <t xml:space="preserve">Jln Abd. Hae dusun sappu desa tinambung kecamatan Pamboang </t>
  </si>
  <si>
    <t>MAJENE, 18 September 1996 (29)</t>
  </si>
  <si>
    <t>+62 853-2295-9123</t>
  </si>
  <si>
    <t>760123030009</t>
  </si>
  <si>
    <t>wahyunime4@gmail.com</t>
  </si>
  <si>
    <t>Muhammad Darwis</t>
  </si>
  <si>
    <t>Dusun pesapoang timur Desa Adolang</t>
  </si>
  <si>
    <t>MAJENE, 25 Mei 1992 (33)</t>
  </si>
  <si>
    <t>+62 085-3992-22294</t>
  </si>
  <si>
    <t>760122030014</t>
  </si>
  <si>
    <t>mdarwisawi@gmail.com</t>
  </si>
  <si>
    <t>Nurdiati</t>
  </si>
  <si>
    <t>Desa Betteng, Dusun Timbogading Utara</t>
  </si>
  <si>
    <t>MAJENE, 10 Mei 1996 (29)</t>
  </si>
  <si>
    <t>+62 085-8251-47270</t>
  </si>
  <si>
    <t>760123030044</t>
  </si>
  <si>
    <t>aderaa543@gmail.com</t>
  </si>
  <si>
    <t>HAERUN NISA</t>
  </si>
  <si>
    <t>Lingk.Bulutupang</t>
  </si>
  <si>
    <t>MAJENE, 02 April 2006 (19)</t>
  </si>
  <si>
    <t>Berdagang</t>
  </si>
  <si>
    <t>+62 823-1593-1195</t>
  </si>
  <si>
    <t>haerunnisa2006@gmail.com</t>
  </si>
  <si>
    <t>Tidak dda foto KTP</t>
  </si>
  <si>
    <t>Wahyuni</t>
  </si>
  <si>
    <t>Jalan. Pendidikan nomor 10 lingkungan galung-galung</t>
  </si>
  <si>
    <t>MAJENE, 12 Oktober 1991 (34)</t>
  </si>
  <si>
    <t>+62 853-9543-0322</t>
  </si>
  <si>
    <t>Wahyunijafar91@gmail.com</t>
  </si>
  <si>
    <t xml:space="preserve">ASMAWATI </t>
  </si>
  <si>
    <t xml:space="preserve">BALOMBONG SELATAN </t>
  </si>
  <si>
    <t>015</t>
  </si>
  <si>
    <t>MAJENE, 21 Juli 1994 (31)</t>
  </si>
  <si>
    <t>Kader posyandu</t>
  </si>
  <si>
    <t>+62 853-1405-3608</t>
  </si>
  <si>
    <t>asmawaty.majene@gmail.comm</t>
  </si>
  <si>
    <t>Tidak punya kendaraan bermotor</t>
  </si>
  <si>
    <t>Askia</t>
  </si>
  <si>
    <t>MAJENE, 05 Juni 1999 (26)</t>
  </si>
  <si>
    <t>+62 813-1561-7205</t>
  </si>
  <si>
    <t>askia1232023@gmail.com</t>
  </si>
  <si>
    <t>Lutfia Aini</t>
  </si>
  <si>
    <t>MAJENE, 20 Januari 2007 (18)</t>
  </si>
  <si>
    <t>+62 851-2644-7798</t>
  </si>
  <si>
    <t>lutfiaaini27@gmail.com</t>
  </si>
  <si>
    <t>tidak bisa bawa motor</t>
  </si>
  <si>
    <t xml:space="preserve">Sri Devi </t>
  </si>
  <si>
    <t xml:space="preserve">Lingkungan Udzung </t>
  </si>
  <si>
    <t>MAJENE, 29 September 1992 (33)</t>
  </si>
  <si>
    <t>Bantu orang tua</t>
  </si>
  <si>
    <t>+62 852-4075-7550</t>
  </si>
  <si>
    <t>sridevimajene@gmail.com</t>
  </si>
  <si>
    <t>Fiqri nugraha syukur</t>
  </si>
  <si>
    <t>Jalan ammana pattolawali, Lingkungan Galung - galung</t>
  </si>
  <si>
    <t>MAJENE, 14 Januari 1999 (26)</t>
  </si>
  <si>
    <t>+62 856-9657-2385</t>
  </si>
  <si>
    <t>Fikrisukur2012@gmail.com</t>
  </si>
  <si>
    <t>NB: batas mulai diterima si fasih</t>
  </si>
  <si>
    <t xml:space="preserve">Welida </t>
  </si>
  <si>
    <t xml:space="preserve">Dusun Bonde-bonde </t>
  </si>
  <si>
    <t>MAJENE, 30 Mei 1994 (31)</t>
  </si>
  <si>
    <t>+62 081-3558-61851</t>
  </si>
  <si>
    <t>760123020005</t>
  </si>
  <si>
    <t>welidamubarak@gmail.com</t>
  </si>
  <si>
    <t>Foto KTP tidak jelas</t>
  </si>
  <si>
    <t>SYARIFUDDIN M.</t>
  </si>
  <si>
    <t>MAJENE, 02 Juni 1995 (30)</t>
  </si>
  <si>
    <t>Bertani</t>
  </si>
  <si>
    <t>+62 857-5622-5583</t>
  </si>
  <si>
    <t>syarifuddins931@gmail.com</t>
  </si>
  <si>
    <t>MARHAMA</t>
  </si>
  <si>
    <t xml:space="preserve">Lingkungan Bulutupang </t>
  </si>
  <si>
    <t>MAJENE, 06 Januari 1999 (26)</t>
  </si>
  <si>
    <t>Tidak bekerja</t>
  </si>
  <si>
    <t>+62 852-5560-4264</t>
  </si>
  <si>
    <t>760123110120</t>
  </si>
  <si>
    <t>macmamarhama@gmail.com</t>
  </si>
  <si>
    <t xml:space="preserve">Lulus 24-25, tapi tidak pernah mengikuti kegiatan </t>
  </si>
  <si>
    <t>Nurlina</t>
  </si>
  <si>
    <t>Dusun porendeang desa bababulo</t>
  </si>
  <si>
    <t>MAJENE, 10 Maret 1994 (31)</t>
  </si>
  <si>
    <t>Aparat Desa / Kelurahan</t>
  </si>
  <si>
    <t>+62 085-3999-84680</t>
  </si>
  <si>
    <t>760122090087</t>
  </si>
  <si>
    <t>linanur835@gmail.com</t>
  </si>
  <si>
    <t>ROSMADINAH</t>
  </si>
  <si>
    <t>DUSUN BUYUNG RT 00/00</t>
  </si>
  <si>
    <t>MAJENE, 26 November 1998 (26)</t>
  </si>
  <si>
    <t>Kantoran</t>
  </si>
  <si>
    <t>+62 857-1321-3244</t>
  </si>
  <si>
    <t>760122090095</t>
  </si>
  <si>
    <t>rosmadinah794@gmail.com</t>
  </si>
  <si>
    <t>Syafriana Yanti</t>
  </si>
  <si>
    <t>MAJENE, 09 Maret 1993 (32)</t>
  </si>
  <si>
    <t>+62 085-2424-14487</t>
  </si>
  <si>
    <t>760123010002</t>
  </si>
  <si>
    <t>syafrianayanti18@gmail.com</t>
  </si>
  <si>
    <t>Harianti,SE</t>
  </si>
  <si>
    <t>Balombong selatan</t>
  </si>
  <si>
    <t>MAJENE, 04 Agustus 1988 (37)</t>
  </si>
  <si>
    <t>+62 853-9600-4161</t>
  </si>
  <si>
    <t>760122090102</t>
  </si>
  <si>
    <t>harianti040888@gmail.com</t>
  </si>
  <si>
    <t>Foto KTP hanya sepotong</t>
  </si>
  <si>
    <t xml:space="preserve">YULIANTI </t>
  </si>
  <si>
    <t>Lingkungan bulutupang</t>
  </si>
  <si>
    <t>MAJENE, 09 November 1999 (26)</t>
  </si>
  <si>
    <t>+62 813-3355-0507</t>
  </si>
  <si>
    <t>yuliantim999@gmail.com</t>
  </si>
  <si>
    <t>Dokumen ijazah tidak ada</t>
  </si>
  <si>
    <t>SUBUKI</t>
  </si>
  <si>
    <t>Dusun belia</t>
  </si>
  <si>
    <t>012</t>
  </si>
  <si>
    <t>MAJENE, 15 April 1991 (34)</t>
  </si>
  <si>
    <t>+62 815-2727-8848</t>
  </si>
  <si>
    <t>760123110028</t>
  </si>
  <si>
    <t>subuki136@gmail.com</t>
  </si>
  <si>
    <t>Asrul Alimuddin</t>
  </si>
  <si>
    <t>Dusun Sappu</t>
  </si>
  <si>
    <t>MAJENE, 09 November 1992 (33)</t>
  </si>
  <si>
    <t>Freelance</t>
  </si>
  <si>
    <t>+62 812-4282-3249</t>
  </si>
  <si>
    <t>alimuddinasrul94@gmail.com</t>
  </si>
  <si>
    <t>Nur afiah</t>
  </si>
  <si>
    <t>Luaor Desa Bonde kec.Pamboang Kab. Majene</t>
  </si>
  <si>
    <t>MAJENE, 14 Januari 1997 (28)</t>
  </si>
  <si>
    <t>+62 895-1420-0070</t>
  </si>
  <si>
    <t>760123070001</t>
  </si>
  <si>
    <t>Piapiano97@gmail.com</t>
  </si>
  <si>
    <t>Sri arahmi</t>
  </si>
  <si>
    <t>Susun sappolongang</t>
  </si>
  <si>
    <t>MAJENE, 14 Agustus 1988 (37)</t>
  </si>
  <si>
    <t>+62 853-4279-6217</t>
  </si>
  <si>
    <t>760122030020</t>
  </si>
  <si>
    <t>sriarahmiammi@gmail.com</t>
  </si>
  <si>
    <t>DALMIATI</t>
  </si>
  <si>
    <t xml:space="preserve">Pamboang </t>
  </si>
  <si>
    <t>MAJENE, 01 Agustus 1982 (43)</t>
  </si>
  <si>
    <t>+62 813-5525-2362</t>
  </si>
  <si>
    <t>760122030047</t>
  </si>
  <si>
    <t>dalmiatialling@gmail.com</t>
  </si>
  <si>
    <t>Budiman</t>
  </si>
  <si>
    <t>Buttu karappuanna</t>
  </si>
  <si>
    <t>MAJENE, 01 Juli 1991 (34)</t>
  </si>
  <si>
    <t>+62 813-5509-9248</t>
  </si>
  <si>
    <t>760122020013</t>
  </si>
  <si>
    <t>budiman010791@gmail.com</t>
  </si>
  <si>
    <t>St. Ainun Rahmi</t>
  </si>
  <si>
    <t>Kelurahan Sirindu</t>
  </si>
  <si>
    <t>MAJENE, 02 April 1999 (26)</t>
  </si>
  <si>
    <t>Tenaga Honorer Sekolah</t>
  </si>
  <si>
    <t>+62 813-4358-1831</t>
  </si>
  <si>
    <t>760323110008</t>
  </si>
  <si>
    <t>sitiainunrahmi@gmail.com</t>
  </si>
  <si>
    <t>Nasriah</t>
  </si>
  <si>
    <t>Dusun leba</t>
  </si>
  <si>
    <t>014</t>
  </si>
  <si>
    <t>MAJENE, 05 Februari 1992 (33)</t>
  </si>
  <si>
    <t>+62 852-1521-4530</t>
  </si>
  <si>
    <t>760122090077</t>
  </si>
  <si>
    <t>nasriahriah3@gmail.com</t>
  </si>
  <si>
    <t>Pendidikan Lulus D4 tapi ijazah yang dilampirkan ijazah SMA</t>
  </si>
  <si>
    <t>SRI AYUSKESNI</t>
  </si>
  <si>
    <t>DUSUN LATTIGI DESA TINAMBUNG</t>
  </si>
  <si>
    <t>MAJENE, 23 Juli 1991 (34)</t>
  </si>
  <si>
    <t>+62 852-9874-1806</t>
  </si>
  <si>
    <t>760122030036</t>
  </si>
  <si>
    <t>ayuskesni@gmail.com</t>
  </si>
  <si>
    <t>Aldi Indrawan</t>
  </si>
  <si>
    <t>Jalan poros Majene - mamuju</t>
  </si>
  <si>
    <t>MAJENE, 15 Mei 2001 (24)</t>
  </si>
  <si>
    <t>+62 821-9301-1269</t>
  </si>
  <si>
    <t>760123110002</t>
  </si>
  <si>
    <t>aldiindrawan6@gmail.com</t>
  </si>
  <si>
    <t>Amri</t>
  </si>
  <si>
    <t xml:space="preserve">Desa Bonde Utara </t>
  </si>
  <si>
    <t>MAJENE, 19 Oktober 2024 (1)</t>
  </si>
  <si>
    <t>+62 821-9111-3129</t>
  </si>
  <si>
    <t>760123110232</t>
  </si>
  <si>
    <t>amrybotra24@gmail.com</t>
  </si>
  <si>
    <t>Tanggal lahir tidak sesuai dengan KTP, selebihnya oke</t>
  </si>
  <si>
    <t>Serlinawati</t>
  </si>
  <si>
    <t>Lingk. Galung Galung Kel. Lalampanua kec. Pamboang kab. Majene</t>
  </si>
  <si>
    <t>MAMASA, 29 September 1983 (42)</t>
  </si>
  <si>
    <t>+62 812-4127-4418</t>
  </si>
  <si>
    <t>serli8415@gmail.com</t>
  </si>
  <si>
    <t>tidak ada pas foto, tidak bisa mengendarai motor dll, selebihnya oke</t>
  </si>
  <si>
    <t xml:space="preserve">Mukrimatunnisa </t>
  </si>
  <si>
    <t>Kappung Simbang RT 001 RW 000</t>
  </si>
  <si>
    <t>003</t>
  </si>
  <si>
    <t>PASANGKAYU, 14 April 2000 (25)</t>
  </si>
  <si>
    <t>+62 085-2985-83847</t>
  </si>
  <si>
    <t>760122090135</t>
  </si>
  <si>
    <t>mukrimatunnisapolman@gmail.com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</si>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</sst>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95B8-D99C-8E48-A4A7-9F82761FB83E}">
  <dimension ref="A1:T69"/>
  <sheetViews>
    <sheetView tabSelected="1" topLeftCell="C1" workbookViewId="0">
      <selection activeCell="T1" sqref="T1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3" t="s">
        <v>462</v>
      </c>
    </row>
    <row r="2" spans="1:20" x14ac:dyDescent="0.2">
      <c r="A2" s="4" t="s">
        <v>19</v>
      </c>
      <c r="B2" s="4"/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/>
      <c r="O2" s="4" t="s">
        <v>31</v>
      </c>
      <c r="P2" s="4"/>
      <c r="Q2" s="4" t="s">
        <v>32</v>
      </c>
      <c r="R2" s="5" t="s">
        <v>33</v>
      </c>
      <c r="S2" s="5"/>
      <c r="T2" s="6" t="str">
        <f ca="1">IFERROR(__xludf.DUMMYFUNCTION("REGEXREPLACE(REGEXREPLACE(O2, ""[^0-9]"", """"), ""^620"", ""62"")"),"6285696764761")</f>
        <v>6285696764761</v>
      </c>
    </row>
    <row r="3" spans="1:20" x14ac:dyDescent="0.2">
      <c r="A3" s="4" t="s">
        <v>34</v>
      </c>
      <c r="B3" s="4"/>
      <c r="C3" s="4" t="s">
        <v>20</v>
      </c>
      <c r="D3" s="4" t="s">
        <v>35</v>
      </c>
      <c r="E3" s="4" t="s">
        <v>36</v>
      </c>
      <c r="F3" s="4" t="s">
        <v>23</v>
      </c>
      <c r="G3" s="4" t="s">
        <v>24</v>
      </c>
      <c r="H3" s="4" t="s">
        <v>25</v>
      </c>
      <c r="I3" s="4" t="s">
        <v>37</v>
      </c>
      <c r="J3" s="4" t="s">
        <v>38</v>
      </c>
      <c r="K3" s="4" t="s">
        <v>28</v>
      </c>
      <c r="L3" s="4" t="s">
        <v>39</v>
      </c>
      <c r="M3" s="4" t="s">
        <v>30</v>
      </c>
      <c r="N3" s="4"/>
      <c r="O3" s="4" t="s">
        <v>40</v>
      </c>
      <c r="P3" s="4" t="s">
        <v>41</v>
      </c>
      <c r="Q3" s="4" t="s">
        <v>42</v>
      </c>
      <c r="R3" s="5" t="s">
        <v>43</v>
      </c>
      <c r="S3" s="5" t="s">
        <v>44</v>
      </c>
      <c r="T3" s="6" t="str">
        <f ca="1">IFERROR(__xludf.DUMMYFUNCTION("REGEXREPLACE(REGEXREPLACE(O3, ""[^0-9]"", """"), ""^620"", ""62"")"),"6285796307550")</f>
        <v>6285796307550</v>
      </c>
    </row>
    <row r="4" spans="1:20" x14ac:dyDescent="0.2">
      <c r="A4" s="4" t="s">
        <v>45</v>
      </c>
      <c r="B4" s="4"/>
      <c r="C4" s="4" t="s">
        <v>20</v>
      </c>
      <c r="D4" s="4" t="s">
        <v>21</v>
      </c>
      <c r="E4" s="4" t="s">
        <v>46</v>
      </c>
      <c r="F4" s="4" t="s">
        <v>23</v>
      </c>
      <c r="G4" s="4" t="s">
        <v>24</v>
      </c>
      <c r="H4" s="4" t="s">
        <v>25</v>
      </c>
      <c r="I4" s="4" t="s">
        <v>47</v>
      </c>
      <c r="J4" s="4" t="s">
        <v>48</v>
      </c>
      <c r="K4" s="4" t="s">
        <v>28</v>
      </c>
      <c r="L4" s="4" t="s">
        <v>49</v>
      </c>
      <c r="M4" s="4" t="s">
        <v>50</v>
      </c>
      <c r="N4" s="4"/>
      <c r="O4" s="4" t="s">
        <v>51</v>
      </c>
      <c r="P4" s="4"/>
      <c r="Q4" s="4" t="s">
        <v>52</v>
      </c>
      <c r="R4" s="5"/>
      <c r="S4" s="5" t="s">
        <v>53</v>
      </c>
      <c r="T4" s="6" t="str">
        <f ca="1">IFERROR(__xludf.DUMMYFUNCTION("REGEXREPLACE(REGEXREPLACE(O4, ""[^0-9]"", """"), ""^620"", ""62"")"),"6282157847968")</f>
        <v>6282157847968</v>
      </c>
    </row>
    <row r="5" spans="1:20" x14ac:dyDescent="0.2">
      <c r="A5" s="4" t="s">
        <v>54</v>
      </c>
      <c r="B5" s="4"/>
      <c r="C5" s="4" t="s">
        <v>20</v>
      </c>
      <c r="D5" s="4" t="s">
        <v>21</v>
      </c>
      <c r="E5" s="4" t="s">
        <v>55</v>
      </c>
      <c r="F5" s="4" t="s">
        <v>23</v>
      </c>
      <c r="G5" s="4" t="s">
        <v>24</v>
      </c>
      <c r="H5" s="4" t="s">
        <v>25</v>
      </c>
      <c r="I5" s="4" t="s">
        <v>56</v>
      </c>
      <c r="J5" s="4" t="s">
        <v>57</v>
      </c>
      <c r="K5" s="4" t="s">
        <v>58</v>
      </c>
      <c r="L5" s="4" t="s">
        <v>29</v>
      </c>
      <c r="M5" s="4" t="s">
        <v>59</v>
      </c>
      <c r="N5" s="4" t="s">
        <v>60</v>
      </c>
      <c r="O5" s="4" t="s">
        <v>61</v>
      </c>
      <c r="P5" s="4"/>
      <c r="Q5" s="4" t="s">
        <v>62</v>
      </c>
      <c r="R5" s="5" t="s">
        <v>33</v>
      </c>
      <c r="S5" s="5"/>
      <c r="T5" s="6" t="str">
        <f ca="1">IFERROR(__xludf.DUMMYFUNCTION("REGEXREPLACE(REGEXREPLACE(O5, ""[^0-9]"", """"), ""^620"", ""62"")"),"6282193154729")</f>
        <v>6282193154729</v>
      </c>
    </row>
    <row r="6" spans="1:20" x14ac:dyDescent="0.2">
      <c r="A6" s="4" t="s">
        <v>63</v>
      </c>
      <c r="B6" s="4"/>
      <c r="C6" s="4" t="s">
        <v>20</v>
      </c>
      <c r="D6" s="4" t="s">
        <v>21</v>
      </c>
      <c r="E6" s="4" t="s">
        <v>64</v>
      </c>
      <c r="F6" s="4" t="s">
        <v>23</v>
      </c>
      <c r="G6" s="4" t="s">
        <v>24</v>
      </c>
      <c r="H6" s="4" t="s">
        <v>25</v>
      </c>
      <c r="I6" s="4" t="s">
        <v>56</v>
      </c>
      <c r="J6" s="4" t="s">
        <v>65</v>
      </c>
      <c r="K6" s="4" t="s">
        <v>28</v>
      </c>
      <c r="L6" s="4" t="s">
        <v>49</v>
      </c>
      <c r="M6" s="4" t="s">
        <v>66</v>
      </c>
      <c r="N6" s="4"/>
      <c r="O6" s="4" t="s">
        <v>67</v>
      </c>
      <c r="P6" s="4"/>
      <c r="Q6" s="4" t="s">
        <v>68</v>
      </c>
      <c r="R6" s="5"/>
      <c r="S6" s="5" t="s">
        <v>53</v>
      </c>
      <c r="T6" s="6" t="str">
        <f ca="1">IFERROR(__xludf.DUMMYFUNCTION("REGEXREPLACE(REGEXREPLACE(O6, ""[^0-9]"", """"), ""^620"", ""62"")"),"6282119230113")</f>
        <v>6282119230113</v>
      </c>
    </row>
    <row r="7" spans="1:20" x14ac:dyDescent="0.2">
      <c r="A7" s="4" t="s">
        <v>69</v>
      </c>
      <c r="B7" s="4"/>
      <c r="C7" s="4" t="s">
        <v>20</v>
      </c>
      <c r="D7" s="4" t="s">
        <v>35</v>
      </c>
      <c r="E7" s="4" t="s">
        <v>70</v>
      </c>
      <c r="F7" s="4" t="s">
        <v>23</v>
      </c>
      <c r="G7" s="4" t="s">
        <v>24</v>
      </c>
      <c r="H7" s="4" t="s">
        <v>25</v>
      </c>
      <c r="I7" s="4" t="s">
        <v>56</v>
      </c>
      <c r="J7" s="4" t="s">
        <v>71</v>
      </c>
      <c r="K7" s="4" t="s">
        <v>28</v>
      </c>
      <c r="L7" s="4" t="s">
        <v>39</v>
      </c>
      <c r="M7" s="4" t="s">
        <v>72</v>
      </c>
      <c r="N7" s="4"/>
      <c r="O7" s="4" t="s">
        <v>73</v>
      </c>
      <c r="P7" s="4"/>
      <c r="Q7" s="4" t="s">
        <v>74</v>
      </c>
      <c r="R7" s="5" t="s">
        <v>33</v>
      </c>
      <c r="S7" s="5"/>
      <c r="T7" s="6" t="str">
        <f ca="1">IFERROR(__xludf.DUMMYFUNCTION("REGEXREPLACE(REGEXREPLACE(O7, ""[^0-9]"", """"), ""^620"", ""62"")"),"6281527110743")</f>
        <v>6281527110743</v>
      </c>
    </row>
    <row r="8" spans="1:20" x14ac:dyDescent="0.2">
      <c r="A8" s="4" t="s">
        <v>75</v>
      </c>
      <c r="B8" s="4"/>
      <c r="C8" s="4" t="s">
        <v>20</v>
      </c>
      <c r="D8" s="4" t="s">
        <v>35</v>
      </c>
      <c r="E8" s="4" t="s">
        <v>76</v>
      </c>
      <c r="F8" s="4" t="s">
        <v>23</v>
      </c>
      <c r="G8" s="4" t="s">
        <v>24</v>
      </c>
      <c r="H8" s="4" t="s">
        <v>25</v>
      </c>
      <c r="I8" s="4" t="s">
        <v>56</v>
      </c>
      <c r="J8" s="4" t="s">
        <v>77</v>
      </c>
      <c r="K8" s="4" t="s">
        <v>58</v>
      </c>
      <c r="L8" s="4" t="s">
        <v>39</v>
      </c>
      <c r="M8" s="4" t="s">
        <v>78</v>
      </c>
      <c r="N8" s="4"/>
      <c r="O8" s="4" t="s">
        <v>79</v>
      </c>
      <c r="P8" s="4"/>
      <c r="Q8" s="4" t="s">
        <v>80</v>
      </c>
      <c r="R8" s="5" t="s">
        <v>33</v>
      </c>
      <c r="S8" s="5"/>
      <c r="T8" s="6" t="str">
        <f ca="1">IFERROR(__xludf.DUMMYFUNCTION("REGEXREPLACE(REGEXREPLACE(O8, ""[^0-9]"", """"), ""^620"", ""62"")"),"6285171004902")</f>
        <v>6285171004902</v>
      </c>
    </row>
    <row r="9" spans="1:20" x14ac:dyDescent="0.2">
      <c r="A9" s="4" t="s">
        <v>81</v>
      </c>
      <c r="B9" s="4"/>
      <c r="C9" s="4" t="s">
        <v>20</v>
      </c>
      <c r="D9" s="4" t="s">
        <v>35</v>
      </c>
      <c r="E9" s="4" t="s">
        <v>82</v>
      </c>
      <c r="F9" s="4" t="s">
        <v>23</v>
      </c>
      <c r="G9" s="4" t="s">
        <v>24</v>
      </c>
      <c r="H9" s="4" t="s">
        <v>25</v>
      </c>
      <c r="I9" s="4" t="s">
        <v>47</v>
      </c>
      <c r="J9" s="4" t="s">
        <v>83</v>
      </c>
      <c r="K9" s="4" t="s">
        <v>28</v>
      </c>
      <c r="L9" s="4" t="s">
        <v>39</v>
      </c>
      <c r="M9" s="4" t="s">
        <v>50</v>
      </c>
      <c r="N9" s="4"/>
      <c r="O9" s="4" t="s">
        <v>84</v>
      </c>
      <c r="P9" s="4"/>
      <c r="Q9" s="4" t="s">
        <v>85</v>
      </c>
      <c r="R9" s="5" t="s">
        <v>43</v>
      </c>
      <c r="S9" s="5" t="s">
        <v>86</v>
      </c>
      <c r="T9" s="6" t="str">
        <f ca="1">IFERROR(__xludf.DUMMYFUNCTION("REGEXREPLACE(REGEXREPLACE(O9, ""[^0-9]"", """"), ""^620"", ""62"")"),"6282213774465")</f>
        <v>6282213774465</v>
      </c>
    </row>
    <row r="10" spans="1:20" x14ac:dyDescent="0.2">
      <c r="A10" s="4" t="s">
        <v>87</v>
      </c>
      <c r="B10" s="4"/>
      <c r="C10" s="4" t="s">
        <v>20</v>
      </c>
      <c r="D10" s="4" t="s">
        <v>35</v>
      </c>
      <c r="E10" s="4" t="s">
        <v>88</v>
      </c>
      <c r="F10" s="4" t="s">
        <v>23</v>
      </c>
      <c r="G10" s="4" t="s">
        <v>24</v>
      </c>
      <c r="H10" s="4" t="s">
        <v>25</v>
      </c>
      <c r="I10" s="4" t="s">
        <v>56</v>
      </c>
      <c r="J10" s="4" t="s">
        <v>89</v>
      </c>
      <c r="K10" s="4" t="s">
        <v>58</v>
      </c>
      <c r="L10" s="4" t="s">
        <v>39</v>
      </c>
      <c r="M10" s="4" t="s">
        <v>78</v>
      </c>
      <c r="N10" s="4"/>
      <c r="O10" s="4" t="s">
        <v>90</v>
      </c>
      <c r="P10" s="4"/>
      <c r="Q10" s="4" t="s">
        <v>91</v>
      </c>
      <c r="R10" s="5" t="s">
        <v>33</v>
      </c>
      <c r="S10" s="5"/>
      <c r="T10" s="6" t="str">
        <f ca="1">IFERROR(__xludf.DUMMYFUNCTION("REGEXREPLACE(REGEXREPLACE(O10, ""[^0-9]"", """"), ""^620"", ""62"")"),"6282197215146")</f>
        <v>6282197215146</v>
      </c>
    </row>
    <row r="11" spans="1:20" x14ac:dyDescent="0.2">
      <c r="A11" s="4" t="s">
        <v>92</v>
      </c>
      <c r="B11" s="4"/>
      <c r="C11" s="4" t="s">
        <v>20</v>
      </c>
      <c r="D11" s="4" t="s">
        <v>35</v>
      </c>
      <c r="E11" s="4" t="s">
        <v>93</v>
      </c>
      <c r="F11" s="4" t="s">
        <v>23</v>
      </c>
      <c r="G11" s="4" t="s">
        <v>24</v>
      </c>
      <c r="H11" s="4" t="s">
        <v>25</v>
      </c>
      <c r="I11" s="4" t="s">
        <v>56</v>
      </c>
      <c r="J11" s="4" t="s">
        <v>94</v>
      </c>
      <c r="K11" s="4" t="s">
        <v>58</v>
      </c>
      <c r="L11" s="4" t="s">
        <v>39</v>
      </c>
      <c r="M11" s="4" t="s">
        <v>59</v>
      </c>
      <c r="N11" s="4" t="s">
        <v>95</v>
      </c>
      <c r="O11" s="4" t="s">
        <v>96</v>
      </c>
      <c r="P11" s="4"/>
      <c r="Q11" s="4" t="s">
        <v>97</v>
      </c>
      <c r="R11" s="5" t="s">
        <v>43</v>
      </c>
      <c r="S11" s="5" t="s">
        <v>86</v>
      </c>
      <c r="T11" s="6" t="str">
        <f ca="1">IFERROR(__xludf.DUMMYFUNCTION("REGEXREPLACE(REGEXREPLACE(O11, ""[^0-9]"", """"), ""^620"", ""62"")"),"6281392831906")</f>
        <v>6281392831906</v>
      </c>
    </row>
    <row r="12" spans="1:20" x14ac:dyDescent="0.2">
      <c r="A12" s="4" t="s">
        <v>98</v>
      </c>
      <c r="B12" s="4"/>
      <c r="C12" s="4" t="s">
        <v>20</v>
      </c>
      <c r="D12" s="4" t="s">
        <v>35</v>
      </c>
      <c r="E12" s="4" t="s">
        <v>99</v>
      </c>
      <c r="F12" s="4" t="s">
        <v>23</v>
      </c>
      <c r="G12" s="4" t="s">
        <v>24</v>
      </c>
      <c r="H12" s="4" t="s">
        <v>25</v>
      </c>
      <c r="I12" s="4" t="s">
        <v>37</v>
      </c>
      <c r="J12" s="4" t="s">
        <v>100</v>
      </c>
      <c r="K12" s="4" t="s">
        <v>58</v>
      </c>
      <c r="L12" s="4" t="s">
        <v>29</v>
      </c>
      <c r="M12" s="4" t="s">
        <v>72</v>
      </c>
      <c r="N12" s="4"/>
      <c r="O12" s="4" t="s">
        <v>101</v>
      </c>
      <c r="P12" s="4"/>
      <c r="Q12" s="4" t="s">
        <v>102</v>
      </c>
      <c r="R12" s="5" t="s">
        <v>43</v>
      </c>
      <c r="S12" s="5" t="s">
        <v>86</v>
      </c>
      <c r="T12" s="6" t="str">
        <f ca="1">IFERROR(__xludf.DUMMYFUNCTION("REGEXREPLACE(REGEXREPLACE(O12, ""[^0-9]"", """"), ""^620"", ""62"")"),"6285832656709")</f>
        <v>6285832656709</v>
      </c>
    </row>
    <row r="13" spans="1:20" x14ac:dyDescent="0.2">
      <c r="A13" s="4" t="s">
        <v>103</v>
      </c>
      <c r="B13" s="4"/>
      <c r="C13" s="4" t="s">
        <v>20</v>
      </c>
      <c r="D13" s="4" t="s">
        <v>35</v>
      </c>
      <c r="E13" s="4" t="s">
        <v>104</v>
      </c>
      <c r="F13" s="4" t="s">
        <v>23</v>
      </c>
      <c r="G13" s="4" t="s">
        <v>24</v>
      </c>
      <c r="H13" s="4" t="s">
        <v>25</v>
      </c>
      <c r="I13" s="4" t="s">
        <v>47</v>
      </c>
      <c r="J13" s="4" t="s">
        <v>105</v>
      </c>
      <c r="K13" s="4" t="s">
        <v>58</v>
      </c>
      <c r="L13" s="4" t="s">
        <v>39</v>
      </c>
      <c r="M13" s="4" t="s">
        <v>78</v>
      </c>
      <c r="N13" s="4"/>
      <c r="O13" s="4" t="s">
        <v>106</v>
      </c>
      <c r="P13" s="4"/>
      <c r="Q13" s="4" t="s">
        <v>107</v>
      </c>
      <c r="R13" s="5" t="s">
        <v>33</v>
      </c>
      <c r="S13" s="5"/>
      <c r="T13" s="6" t="str">
        <f ca="1">IFERROR(__xludf.DUMMYFUNCTION("REGEXREPLACE(REGEXREPLACE(O13, ""[^0-9]"", """"), ""^620"", ""62"")"),"6285255361509")</f>
        <v>6285255361509</v>
      </c>
    </row>
    <row r="14" spans="1:20" x14ac:dyDescent="0.2">
      <c r="A14" s="4" t="s">
        <v>108</v>
      </c>
      <c r="B14" s="4"/>
      <c r="C14" s="4" t="s">
        <v>20</v>
      </c>
      <c r="D14" s="4" t="s">
        <v>35</v>
      </c>
      <c r="E14" s="4" t="s">
        <v>109</v>
      </c>
      <c r="F14" s="4" t="s">
        <v>23</v>
      </c>
      <c r="G14" s="4" t="s">
        <v>24</v>
      </c>
      <c r="H14" s="4" t="s">
        <v>25</v>
      </c>
      <c r="I14" s="4" t="s">
        <v>26</v>
      </c>
      <c r="J14" s="4" t="s">
        <v>110</v>
      </c>
      <c r="K14" s="4" t="s">
        <v>28</v>
      </c>
      <c r="L14" s="4" t="s">
        <v>39</v>
      </c>
      <c r="M14" s="4" t="s">
        <v>66</v>
      </c>
      <c r="N14" s="4"/>
      <c r="O14" s="4" t="s">
        <v>111</v>
      </c>
      <c r="P14" s="4"/>
      <c r="Q14" s="4" t="s">
        <v>112</v>
      </c>
      <c r="R14" s="5" t="s">
        <v>43</v>
      </c>
      <c r="S14" s="5" t="s">
        <v>86</v>
      </c>
      <c r="T14" s="6" t="str">
        <f ca="1">IFERROR(__xludf.DUMMYFUNCTION("REGEXREPLACE(REGEXREPLACE(O14, ""[^0-9]"", """"), ""^620"", ""62"")"),"6285256145071")</f>
        <v>6285256145071</v>
      </c>
    </row>
    <row r="15" spans="1:20" x14ac:dyDescent="0.2">
      <c r="A15" s="4" t="s">
        <v>113</v>
      </c>
      <c r="B15" s="4"/>
      <c r="C15" s="4" t="s">
        <v>20</v>
      </c>
      <c r="D15" s="4" t="s">
        <v>35</v>
      </c>
      <c r="E15" s="4" t="s">
        <v>114</v>
      </c>
      <c r="F15" s="4" t="s">
        <v>23</v>
      </c>
      <c r="G15" s="4" t="s">
        <v>24</v>
      </c>
      <c r="H15" s="4" t="s">
        <v>25</v>
      </c>
      <c r="I15" s="4" t="s">
        <v>115</v>
      </c>
      <c r="J15" s="4" t="s">
        <v>116</v>
      </c>
      <c r="K15" s="4" t="s">
        <v>58</v>
      </c>
      <c r="L15" s="4" t="s">
        <v>49</v>
      </c>
      <c r="M15" s="4" t="s">
        <v>72</v>
      </c>
      <c r="N15" s="4"/>
      <c r="O15" s="4" t="s">
        <v>117</v>
      </c>
      <c r="P15" s="4"/>
      <c r="Q15" s="4" t="s">
        <v>118</v>
      </c>
      <c r="R15" s="5" t="s">
        <v>119</v>
      </c>
      <c r="S15" s="5" t="s">
        <v>120</v>
      </c>
      <c r="T15" s="6" t="str">
        <f ca="1">IFERROR(__xludf.DUMMYFUNCTION("REGEXREPLACE(REGEXREPLACE(O15, ""[^0-9]"", """"), ""^620"", ""62"")"),"6282246423495")</f>
        <v>6282246423495</v>
      </c>
    </row>
    <row r="16" spans="1:20" x14ac:dyDescent="0.2">
      <c r="A16" s="4" t="s">
        <v>121</v>
      </c>
      <c r="B16" s="4"/>
      <c r="C16" s="4" t="s">
        <v>20</v>
      </c>
      <c r="D16" s="4" t="s">
        <v>35</v>
      </c>
      <c r="E16" s="4" t="s">
        <v>122</v>
      </c>
      <c r="F16" s="4" t="s">
        <v>23</v>
      </c>
      <c r="G16" s="4" t="s">
        <v>24</v>
      </c>
      <c r="H16" s="4" t="s">
        <v>25</v>
      </c>
      <c r="I16" s="4" t="s">
        <v>115</v>
      </c>
      <c r="J16" s="4" t="s">
        <v>123</v>
      </c>
      <c r="K16" s="4" t="s">
        <v>58</v>
      </c>
      <c r="L16" s="4" t="s">
        <v>39</v>
      </c>
      <c r="M16" s="4" t="s">
        <v>78</v>
      </c>
      <c r="N16" s="4"/>
      <c r="O16" s="4" t="s">
        <v>124</v>
      </c>
      <c r="P16" s="4"/>
      <c r="Q16" s="4" t="s">
        <v>125</v>
      </c>
      <c r="R16" s="5" t="s">
        <v>43</v>
      </c>
      <c r="S16" s="5" t="s">
        <v>86</v>
      </c>
      <c r="T16" s="6" t="str">
        <f ca="1">IFERROR(__xludf.DUMMYFUNCTION("REGEXREPLACE(REGEXREPLACE(O16, ""[^0-9]"", """"), ""^620"", ""62"")"),"6283894093796")</f>
        <v>6283894093796</v>
      </c>
    </row>
    <row r="17" spans="1:20" x14ac:dyDescent="0.2">
      <c r="A17" s="4" t="s">
        <v>126</v>
      </c>
      <c r="B17" s="4"/>
      <c r="C17" s="4" t="s">
        <v>20</v>
      </c>
      <c r="D17" s="4" t="s">
        <v>127</v>
      </c>
      <c r="E17" s="4" t="s">
        <v>128</v>
      </c>
      <c r="F17" s="4" t="s">
        <v>23</v>
      </c>
      <c r="G17" s="4" t="s">
        <v>24</v>
      </c>
      <c r="H17" s="4" t="s">
        <v>25</v>
      </c>
      <c r="I17" s="4" t="s">
        <v>47</v>
      </c>
      <c r="J17" s="4" t="s">
        <v>129</v>
      </c>
      <c r="K17" s="4" t="s">
        <v>28</v>
      </c>
      <c r="L17" s="4" t="s">
        <v>39</v>
      </c>
      <c r="M17" s="4" t="s">
        <v>59</v>
      </c>
      <c r="N17" s="4" t="s">
        <v>130</v>
      </c>
      <c r="O17" s="4" t="s">
        <v>131</v>
      </c>
      <c r="P17" s="4" t="s">
        <v>132</v>
      </c>
      <c r="Q17" s="4" t="s">
        <v>133</v>
      </c>
      <c r="R17" s="5" t="s">
        <v>33</v>
      </c>
      <c r="S17" s="5"/>
      <c r="T17" s="6" t="str">
        <f ca="1">IFERROR(__xludf.DUMMYFUNCTION("REGEXREPLACE(REGEXREPLACE(O17, ""[^0-9]"", """"), ""^620"", ""62"")"),"6285256147894")</f>
        <v>6285256147894</v>
      </c>
    </row>
    <row r="18" spans="1:20" x14ac:dyDescent="0.2">
      <c r="A18" s="4" t="s">
        <v>134</v>
      </c>
      <c r="B18" s="4"/>
      <c r="C18" s="4" t="s">
        <v>20</v>
      </c>
      <c r="D18" s="4" t="s">
        <v>35</v>
      </c>
      <c r="E18" s="4" t="s">
        <v>135</v>
      </c>
      <c r="F18" s="4" t="s">
        <v>23</v>
      </c>
      <c r="G18" s="4" t="s">
        <v>24</v>
      </c>
      <c r="H18" s="4" t="s">
        <v>25</v>
      </c>
      <c r="I18" s="4" t="s">
        <v>136</v>
      </c>
      <c r="J18" s="4" t="s">
        <v>137</v>
      </c>
      <c r="K18" s="4" t="s">
        <v>58</v>
      </c>
      <c r="L18" s="4" t="s">
        <v>39</v>
      </c>
      <c r="M18" s="4" t="s">
        <v>59</v>
      </c>
      <c r="N18" s="4" t="s">
        <v>138</v>
      </c>
      <c r="O18" s="4" t="s">
        <v>139</v>
      </c>
      <c r="P18" s="4" t="s">
        <v>140</v>
      </c>
      <c r="Q18" s="4" t="s">
        <v>141</v>
      </c>
      <c r="R18" s="5" t="s">
        <v>33</v>
      </c>
      <c r="S18" s="5"/>
      <c r="T18" s="6" t="str">
        <f ca="1">IFERROR(__xludf.DUMMYFUNCTION("REGEXREPLACE(REGEXREPLACE(O18, ""[^0-9]"", """"), ""^620"", ""62"")"),"6281241415481")</f>
        <v>6281241415481</v>
      </c>
    </row>
    <row r="19" spans="1:20" x14ac:dyDescent="0.2">
      <c r="A19" s="4" t="s">
        <v>142</v>
      </c>
      <c r="B19" s="4"/>
      <c r="C19" s="4" t="s">
        <v>20</v>
      </c>
      <c r="D19" s="4" t="s">
        <v>35</v>
      </c>
      <c r="E19" s="4" t="s">
        <v>143</v>
      </c>
      <c r="F19" s="4" t="s">
        <v>23</v>
      </c>
      <c r="G19" s="4" t="s">
        <v>24</v>
      </c>
      <c r="H19" s="4" t="s">
        <v>25</v>
      </c>
      <c r="I19" s="4" t="s">
        <v>144</v>
      </c>
      <c r="J19" s="4" t="s">
        <v>145</v>
      </c>
      <c r="K19" s="4" t="s">
        <v>28</v>
      </c>
      <c r="L19" s="4" t="s">
        <v>39</v>
      </c>
      <c r="M19" s="4" t="s">
        <v>59</v>
      </c>
      <c r="N19" s="4" t="s">
        <v>146</v>
      </c>
      <c r="O19" s="4" t="s">
        <v>147</v>
      </c>
      <c r="P19" s="4" t="s">
        <v>148</v>
      </c>
      <c r="Q19" s="4" t="s">
        <v>149</v>
      </c>
      <c r="R19" s="5" t="s">
        <v>33</v>
      </c>
      <c r="S19" s="5"/>
      <c r="T19" s="6" t="str">
        <f ca="1">IFERROR(__xludf.DUMMYFUNCTION("REGEXREPLACE(REGEXREPLACE(O19, ""[^0-9]"", """"), ""^620"", ""62"")"),"6281245337639")</f>
        <v>6281245337639</v>
      </c>
    </row>
    <row r="20" spans="1:20" x14ac:dyDescent="0.2">
      <c r="A20" s="4" t="s">
        <v>150</v>
      </c>
      <c r="B20" s="4"/>
      <c r="C20" s="4" t="s">
        <v>20</v>
      </c>
      <c r="D20" s="4" t="s">
        <v>35</v>
      </c>
      <c r="E20" s="4" t="s">
        <v>151</v>
      </c>
      <c r="F20" s="4" t="s">
        <v>23</v>
      </c>
      <c r="G20" s="4" t="s">
        <v>24</v>
      </c>
      <c r="H20" s="4" t="s">
        <v>25</v>
      </c>
      <c r="I20" s="4" t="s">
        <v>115</v>
      </c>
      <c r="J20" s="4" t="s">
        <v>152</v>
      </c>
      <c r="K20" s="4" t="s">
        <v>28</v>
      </c>
      <c r="L20" s="4" t="s">
        <v>49</v>
      </c>
      <c r="M20" s="4" t="s">
        <v>66</v>
      </c>
      <c r="N20" s="4"/>
      <c r="O20" s="4" t="s">
        <v>153</v>
      </c>
      <c r="P20" s="4" t="s">
        <v>154</v>
      </c>
      <c r="Q20" s="4" t="s">
        <v>155</v>
      </c>
      <c r="R20" s="5" t="s">
        <v>43</v>
      </c>
      <c r="S20" s="5" t="s">
        <v>156</v>
      </c>
      <c r="T20" s="6" t="str">
        <f ca="1">IFERROR(__xludf.DUMMYFUNCTION("REGEXREPLACE(REGEXREPLACE(O20, ""[^0-9]"", """"), ""^620"", ""62"")"),"6282197437602")</f>
        <v>6282197437602</v>
      </c>
    </row>
    <row r="21" spans="1:20" x14ac:dyDescent="0.2">
      <c r="A21" s="4" t="s">
        <v>157</v>
      </c>
      <c r="B21" s="4"/>
      <c r="C21" s="4" t="s">
        <v>20</v>
      </c>
      <c r="D21" s="4" t="s">
        <v>35</v>
      </c>
      <c r="E21" s="4" t="s">
        <v>158</v>
      </c>
      <c r="F21" s="4" t="s">
        <v>23</v>
      </c>
      <c r="G21" s="4" t="s">
        <v>24</v>
      </c>
      <c r="H21" s="4" t="s">
        <v>25</v>
      </c>
      <c r="I21" s="4" t="s">
        <v>136</v>
      </c>
      <c r="J21" s="4" t="s">
        <v>159</v>
      </c>
      <c r="K21" s="4" t="s">
        <v>28</v>
      </c>
      <c r="L21" s="4" t="s">
        <v>49</v>
      </c>
      <c r="M21" s="4" t="s">
        <v>72</v>
      </c>
      <c r="N21" s="4"/>
      <c r="O21" s="4" t="s">
        <v>160</v>
      </c>
      <c r="P21" s="4" t="s">
        <v>161</v>
      </c>
      <c r="Q21" s="4" t="s">
        <v>162</v>
      </c>
      <c r="R21" s="5" t="s">
        <v>33</v>
      </c>
      <c r="S21" s="5"/>
      <c r="T21" s="6" t="str">
        <f ca="1">IFERROR(__xludf.DUMMYFUNCTION("REGEXREPLACE(REGEXREPLACE(O21, ""[^0-9]"", """"), ""^620"", ""62"")"),"6285257219153")</f>
        <v>6285257219153</v>
      </c>
    </row>
    <row r="22" spans="1:20" x14ac:dyDescent="0.2">
      <c r="A22" s="4" t="s">
        <v>163</v>
      </c>
      <c r="B22" s="4"/>
      <c r="C22" s="4" t="s">
        <v>20</v>
      </c>
      <c r="D22" s="4" t="s">
        <v>127</v>
      </c>
      <c r="E22" s="4" t="s">
        <v>164</v>
      </c>
      <c r="F22" s="4" t="s">
        <v>23</v>
      </c>
      <c r="G22" s="4" t="s">
        <v>24</v>
      </c>
      <c r="H22" s="4" t="s">
        <v>25</v>
      </c>
      <c r="I22" s="4" t="s">
        <v>136</v>
      </c>
      <c r="J22" s="4" t="s">
        <v>165</v>
      </c>
      <c r="K22" s="4" t="s">
        <v>58</v>
      </c>
      <c r="L22" s="4" t="s">
        <v>49</v>
      </c>
      <c r="M22" s="4" t="s">
        <v>72</v>
      </c>
      <c r="N22" s="4"/>
      <c r="O22" s="4" t="s">
        <v>166</v>
      </c>
      <c r="P22" s="4"/>
      <c r="Q22" s="4" t="s">
        <v>167</v>
      </c>
      <c r="R22" s="5" t="s">
        <v>33</v>
      </c>
      <c r="S22" s="5"/>
      <c r="T22" s="6" t="str">
        <f ca="1">IFERROR(__xludf.DUMMYFUNCTION("REGEXREPLACE(REGEXREPLACE(O22, ""[^0-9]"", """"), ""^620"", ""62"")"),"6283870632017")</f>
        <v>6283870632017</v>
      </c>
    </row>
    <row r="23" spans="1:20" x14ac:dyDescent="0.2">
      <c r="A23" s="4" t="s">
        <v>168</v>
      </c>
      <c r="B23" s="4"/>
      <c r="C23" s="4" t="s">
        <v>20</v>
      </c>
      <c r="D23" s="4" t="s">
        <v>21</v>
      </c>
      <c r="E23" s="4" t="s">
        <v>169</v>
      </c>
      <c r="F23" s="4" t="s">
        <v>23</v>
      </c>
      <c r="G23" s="4" t="s">
        <v>24</v>
      </c>
      <c r="H23" s="4" t="s">
        <v>25</v>
      </c>
      <c r="I23" s="4" t="s">
        <v>136</v>
      </c>
      <c r="J23" s="4" t="s">
        <v>170</v>
      </c>
      <c r="K23" s="4" t="s">
        <v>58</v>
      </c>
      <c r="L23" s="4" t="s">
        <v>39</v>
      </c>
      <c r="M23" s="4" t="s">
        <v>59</v>
      </c>
      <c r="N23" s="4" t="s">
        <v>171</v>
      </c>
      <c r="O23" s="4" t="s">
        <v>172</v>
      </c>
      <c r="P23" s="4"/>
      <c r="Q23" s="4" t="s">
        <v>173</v>
      </c>
      <c r="R23" s="5" t="s">
        <v>119</v>
      </c>
      <c r="S23" s="5" t="s">
        <v>174</v>
      </c>
      <c r="T23" s="6" t="str">
        <f ca="1">IFERROR(__xludf.DUMMYFUNCTION("REGEXREPLACE(REGEXREPLACE(O23, ""[^0-9]"", """"), ""^620"", ""62"")"),"6285756756020")</f>
        <v>6285756756020</v>
      </c>
    </row>
    <row r="24" spans="1:20" x14ac:dyDescent="0.2">
      <c r="A24" s="4" t="s">
        <v>175</v>
      </c>
      <c r="B24" s="4"/>
      <c r="C24" s="4" t="s">
        <v>20</v>
      </c>
      <c r="D24" s="4" t="s">
        <v>21</v>
      </c>
      <c r="E24" s="4" t="s">
        <v>176</v>
      </c>
      <c r="F24" s="4" t="s">
        <v>23</v>
      </c>
      <c r="G24" s="4" t="s">
        <v>24</v>
      </c>
      <c r="H24" s="4" t="s">
        <v>25</v>
      </c>
      <c r="I24" s="4" t="s">
        <v>136</v>
      </c>
      <c r="J24" s="4" t="s">
        <v>177</v>
      </c>
      <c r="K24" s="4" t="s">
        <v>58</v>
      </c>
      <c r="L24" s="4" t="s">
        <v>49</v>
      </c>
      <c r="M24" s="4" t="s">
        <v>59</v>
      </c>
      <c r="N24" s="4" t="s">
        <v>178</v>
      </c>
      <c r="O24" s="4" t="s">
        <v>179</v>
      </c>
      <c r="P24" s="4"/>
      <c r="Q24" s="4" t="s">
        <v>180</v>
      </c>
      <c r="R24" s="5" t="s">
        <v>43</v>
      </c>
      <c r="S24" s="5" t="s">
        <v>181</v>
      </c>
      <c r="T24" s="6" t="str">
        <f ca="1">IFERROR(__xludf.DUMMYFUNCTION("REGEXREPLACE(REGEXREPLACE(O24, ""[^0-9]"", """"), ""^620"", ""62"")"),"6282352420520")</f>
        <v>6282352420520</v>
      </c>
    </row>
    <row r="25" spans="1:20" x14ac:dyDescent="0.2">
      <c r="A25" s="4" t="s">
        <v>182</v>
      </c>
      <c r="B25" s="4"/>
      <c r="C25" s="4" t="s">
        <v>20</v>
      </c>
      <c r="D25" s="4" t="s">
        <v>21</v>
      </c>
      <c r="E25" s="4" t="s">
        <v>183</v>
      </c>
      <c r="F25" s="4" t="s">
        <v>23</v>
      </c>
      <c r="G25" s="4" t="s">
        <v>24</v>
      </c>
      <c r="H25" s="4" t="s">
        <v>25</v>
      </c>
      <c r="I25" s="4" t="s">
        <v>184</v>
      </c>
      <c r="J25" s="4" t="s">
        <v>185</v>
      </c>
      <c r="K25" s="4" t="s">
        <v>58</v>
      </c>
      <c r="L25" s="4" t="s">
        <v>39</v>
      </c>
      <c r="M25" s="4" t="s">
        <v>30</v>
      </c>
      <c r="N25" s="4"/>
      <c r="O25" s="4" t="s">
        <v>186</v>
      </c>
      <c r="P25" s="4"/>
      <c r="Q25" s="4" t="s">
        <v>187</v>
      </c>
      <c r="R25" s="5" t="s">
        <v>43</v>
      </c>
      <c r="S25" s="5" t="s">
        <v>86</v>
      </c>
      <c r="T25" s="6" t="str">
        <f ca="1">IFERROR(__xludf.DUMMYFUNCTION("REGEXREPLACE(REGEXREPLACE(O25, ""[^0-9]"", """"), ""^620"", ""62"")"),"6282299094938")</f>
        <v>6282299094938</v>
      </c>
    </row>
    <row r="26" spans="1:20" x14ac:dyDescent="0.2">
      <c r="A26" s="4" t="s">
        <v>188</v>
      </c>
      <c r="B26" s="4"/>
      <c r="C26" s="4" t="s">
        <v>20</v>
      </c>
      <c r="D26" s="4" t="s">
        <v>21</v>
      </c>
      <c r="E26" s="4" t="s">
        <v>189</v>
      </c>
      <c r="F26" s="4" t="s">
        <v>23</v>
      </c>
      <c r="G26" s="4" t="s">
        <v>24</v>
      </c>
      <c r="H26" s="4" t="s">
        <v>25</v>
      </c>
      <c r="I26" s="4" t="s">
        <v>190</v>
      </c>
      <c r="J26" s="4" t="s">
        <v>191</v>
      </c>
      <c r="K26" s="4" t="s">
        <v>28</v>
      </c>
      <c r="L26" s="4" t="s">
        <v>39</v>
      </c>
      <c r="M26" s="4" t="s">
        <v>50</v>
      </c>
      <c r="N26" s="4"/>
      <c r="O26" s="4" t="s">
        <v>192</v>
      </c>
      <c r="P26" s="4"/>
      <c r="Q26" s="4" t="s">
        <v>193</v>
      </c>
      <c r="R26" s="5" t="s">
        <v>43</v>
      </c>
      <c r="S26" s="5" t="s">
        <v>86</v>
      </c>
      <c r="T26" s="6" t="str">
        <f ca="1">IFERROR(__xludf.DUMMYFUNCTION("REGEXREPLACE(REGEXREPLACE(O26, ""[^0-9]"", """"), ""^620"", ""62"")"),"6285348880247")</f>
        <v>6285348880247</v>
      </c>
    </row>
    <row r="27" spans="1:20" x14ac:dyDescent="0.2">
      <c r="A27" s="4" t="s">
        <v>194</v>
      </c>
      <c r="B27" s="4"/>
      <c r="C27" s="4" t="s">
        <v>20</v>
      </c>
      <c r="D27" s="4" t="s">
        <v>21</v>
      </c>
      <c r="E27" s="4" t="s">
        <v>195</v>
      </c>
      <c r="F27" s="4" t="s">
        <v>23</v>
      </c>
      <c r="G27" s="4" t="s">
        <v>24</v>
      </c>
      <c r="H27" s="4" t="s">
        <v>25</v>
      </c>
      <c r="I27" s="4" t="s">
        <v>47</v>
      </c>
      <c r="J27" s="4" t="s">
        <v>196</v>
      </c>
      <c r="K27" s="4" t="s">
        <v>28</v>
      </c>
      <c r="L27" s="4" t="s">
        <v>39</v>
      </c>
      <c r="M27" s="4" t="s">
        <v>59</v>
      </c>
      <c r="N27" s="4" t="s">
        <v>197</v>
      </c>
      <c r="O27" s="4" t="s">
        <v>198</v>
      </c>
      <c r="P27" s="4"/>
      <c r="Q27" s="4" t="s">
        <v>199</v>
      </c>
      <c r="R27" s="5" t="s">
        <v>119</v>
      </c>
      <c r="S27" s="5" t="s">
        <v>174</v>
      </c>
      <c r="T27" s="6" t="str">
        <f ca="1">IFERROR(__xludf.DUMMYFUNCTION("REGEXREPLACE(REGEXREPLACE(O27, ""[^0-9]"", """"), ""^620"", ""62"")"),"6282394562721")</f>
        <v>6282394562721</v>
      </c>
    </row>
    <row r="28" spans="1:20" x14ac:dyDescent="0.2">
      <c r="A28" s="4" t="s">
        <v>200</v>
      </c>
      <c r="B28" s="4"/>
      <c r="C28" s="4" t="s">
        <v>20</v>
      </c>
      <c r="D28" s="4" t="s">
        <v>21</v>
      </c>
      <c r="E28" s="4" t="s">
        <v>201</v>
      </c>
      <c r="F28" s="4" t="s">
        <v>23</v>
      </c>
      <c r="G28" s="4" t="s">
        <v>24</v>
      </c>
      <c r="H28" s="4" t="s">
        <v>25</v>
      </c>
      <c r="I28" s="4" t="s">
        <v>56</v>
      </c>
      <c r="J28" s="4" t="s">
        <v>202</v>
      </c>
      <c r="K28" s="4" t="s">
        <v>28</v>
      </c>
      <c r="L28" s="4" t="s">
        <v>49</v>
      </c>
      <c r="M28" s="4" t="s">
        <v>78</v>
      </c>
      <c r="N28" s="4"/>
      <c r="O28" s="4" t="s">
        <v>203</v>
      </c>
      <c r="P28" s="4"/>
      <c r="Q28" s="4" t="s">
        <v>204</v>
      </c>
      <c r="R28" s="5" t="s">
        <v>33</v>
      </c>
      <c r="S28" s="5"/>
      <c r="T28" s="6" t="str">
        <f ca="1">IFERROR(__xludf.DUMMYFUNCTION("REGEXREPLACE(REGEXREPLACE(O28, ""[^0-9]"", """"), ""^620"", ""62"")"),"6285746615069")</f>
        <v>6285746615069</v>
      </c>
    </row>
    <row r="29" spans="1:20" x14ac:dyDescent="0.2">
      <c r="A29" s="4" t="s">
        <v>205</v>
      </c>
      <c r="B29" s="4"/>
      <c r="C29" s="4" t="s">
        <v>20</v>
      </c>
      <c r="D29" s="4" t="s">
        <v>35</v>
      </c>
      <c r="E29" s="4" t="s">
        <v>206</v>
      </c>
      <c r="F29" s="4" t="s">
        <v>23</v>
      </c>
      <c r="G29" s="4" t="s">
        <v>24</v>
      </c>
      <c r="H29" s="4" t="s">
        <v>25</v>
      </c>
      <c r="I29" s="4" t="s">
        <v>207</v>
      </c>
      <c r="J29" s="4" t="s">
        <v>208</v>
      </c>
      <c r="K29" s="4" t="s">
        <v>58</v>
      </c>
      <c r="L29" s="4" t="s">
        <v>39</v>
      </c>
      <c r="M29" s="4" t="s">
        <v>50</v>
      </c>
      <c r="N29" s="4"/>
      <c r="O29" s="4" t="s">
        <v>209</v>
      </c>
      <c r="P29" s="4" t="s">
        <v>210</v>
      </c>
      <c r="Q29" s="4" t="s">
        <v>211</v>
      </c>
      <c r="R29" s="5" t="s">
        <v>33</v>
      </c>
      <c r="S29" s="5" t="s">
        <v>212</v>
      </c>
      <c r="T29" s="6" t="str">
        <f ca="1">IFERROR(__xludf.DUMMYFUNCTION("REGEXREPLACE(REGEXREPLACE(O29, ""[^0-9]"", """"), ""^620"", ""62"")"),"6281392686930")</f>
        <v>6281392686930</v>
      </c>
    </row>
    <row r="30" spans="1:20" x14ac:dyDescent="0.2">
      <c r="A30" s="4" t="s">
        <v>213</v>
      </c>
      <c r="B30" s="4"/>
      <c r="C30" s="4" t="s">
        <v>20</v>
      </c>
      <c r="D30" s="4" t="s">
        <v>35</v>
      </c>
      <c r="E30" s="4" t="s">
        <v>214</v>
      </c>
      <c r="F30" s="4" t="s">
        <v>23</v>
      </c>
      <c r="G30" s="4" t="s">
        <v>24</v>
      </c>
      <c r="H30" s="4" t="s">
        <v>25</v>
      </c>
      <c r="I30" s="4" t="s">
        <v>144</v>
      </c>
      <c r="J30" s="4" t="s">
        <v>215</v>
      </c>
      <c r="K30" s="4" t="s">
        <v>28</v>
      </c>
      <c r="L30" s="4" t="s">
        <v>39</v>
      </c>
      <c r="M30" s="4" t="s">
        <v>50</v>
      </c>
      <c r="N30" s="4"/>
      <c r="O30" s="4" t="s">
        <v>216</v>
      </c>
      <c r="P30" s="4" t="s">
        <v>217</v>
      </c>
      <c r="Q30" s="4" t="s">
        <v>218</v>
      </c>
      <c r="R30" s="5" t="s">
        <v>33</v>
      </c>
      <c r="S30" s="5"/>
      <c r="T30" s="6" t="str">
        <f ca="1">IFERROR(__xludf.DUMMYFUNCTION("REGEXREPLACE(REGEXREPLACE(O30, ""[^0-9]"", """"), ""^620"", ""62"")"),"6285845383821")</f>
        <v>6285845383821</v>
      </c>
    </row>
    <row r="31" spans="1:20" x14ac:dyDescent="0.2">
      <c r="A31" s="4" t="s">
        <v>219</v>
      </c>
      <c r="B31" s="4"/>
      <c r="C31" s="4" t="s">
        <v>20</v>
      </c>
      <c r="D31" s="4" t="s">
        <v>35</v>
      </c>
      <c r="E31" s="4" t="s">
        <v>220</v>
      </c>
      <c r="F31" s="4" t="s">
        <v>23</v>
      </c>
      <c r="G31" s="4" t="s">
        <v>24</v>
      </c>
      <c r="H31" s="4" t="s">
        <v>25</v>
      </c>
      <c r="I31" s="4" t="s">
        <v>207</v>
      </c>
      <c r="J31" s="4" t="s">
        <v>221</v>
      </c>
      <c r="K31" s="4" t="s">
        <v>28</v>
      </c>
      <c r="L31" s="4" t="s">
        <v>39</v>
      </c>
      <c r="M31" s="4" t="s">
        <v>66</v>
      </c>
      <c r="N31" s="4"/>
      <c r="O31" s="4" t="s">
        <v>222</v>
      </c>
      <c r="P31" s="4" t="s">
        <v>223</v>
      </c>
      <c r="Q31" s="4" t="s">
        <v>224</v>
      </c>
      <c r="R31" s="5" t="s">
        <v>33</v>
      </c>
      <c r="S31" s="5"/>
      <c r="T31" s="6" t="str">
        <f ca="1">IFERROR(__xludf.DUMMYFUNCTION("REGEXREPLACE(REGEXREPLACE(O31, ""[^0-9]"", """"), ""^620"", ""62"")"),"6287863966050")</f>
        <v>6287863966050</v>
      </c>
    </row>
    <row r="32" spans="1:20" x14ac:dyDescent="0.2">
      <c r="A32" s="4" t="s">
        <v>225</v>
      </c>
      <c r="B32" s="4"/>
      <c r="C32" s="4" t="s">
        <v>20</v>
      </c>
      <c r="D32" s="4" t="s">
        <v>35</v>
      </c>
      <c r="E32" s="4" t="s">
        <v>226</v>
      </c>
      <c r="F32" s="4" t="s">
        <v>23</v>
      </c>
      <c r="G32" s="4" t="s">
        <v>24</v>
      </c>
      <c r="H32" s="4" t="s">
        <v>25</v>
      </c>
      <c r="I32" s="4" t="s">
        <v>56</v>
      </c>
      <c r="J32" s="4" t="s">
        <v>227</v>
      </c>
      <c r="K32" s="4" t="s">
        <v>28</v>
      </c>
      <c r="L32" s="4" t="s">
        <v>39</v>
      </c>
      <c r="M32" s="4" t="s">
        <v>50</v>
      </c>
      <c r="N32" s="4"/>
      <c r="O32" s="4" t="s">
        <v>228</v>
      </c>
      <c r="P32" s="4" t="s">
        <v>229</v>
      </c>
      <c r="Q32" s="4" t="s">
        <v>230</v>
      </c>
      <c r="R32" s="5" t="s">
        <v>33</v>
      </c>
      <c r="S32" s="5"/>
      <c r="T32" s="6" t="str">
        <f ca="1">IFERROR(__xludf.DUMMYFUNCTION("REGEXREPLACE(REGEXREPLACE(O32, ""[^0-9]"", """"), ""^620"", ""62"")"),"6285340756810")</f>
        <v>6285340756810</v>
      </c>
    </row>
    <row r="33" spans="1:20" x14ac:dyDescent="0.2">
      <c r="A33" s="4" t="s">
        <v>231</v>
      </c>
      <c r="B33" s="4"/>
      <c r="C33" s="4" t="s">
        <v>20</v>
      </c>
      <c r="D33" s="4" t="s">
        <v>35</v>
      </c>
      <c r="E33" s="4" t="s">
        <v>232</v>
      </c>
      <c r="F33" s="4" t="s">
        <v>23</v>
      </c>
      <c r="G33" s="4" t="s">
        <v>24</v>
      </c>
      <c r="H33" s="4" t="s">
        <v>25</v>
      </c>
      <c r="I33" s="4" t="s">
        <v>115</v>
      </c>
      <c r="J33" s="4" t="s">
        <v>233</v>
      </c>
      <c r="K33" s="4" t="s">
        <v>28</v>
      </c>
      <c r="L33" s="4" t="s">
        <v>49</v>
      </c>
      <c r="M33" s="4" t="s">
        <v>72</v>
      </c>
      <c r="N33" s="4"/>
      <c r="O33" s="4" t="s">
        <v>234</v>
      </c>
      <c r="P33" s="4"/>
      <c r="Q33" s="4" t="s">
        <v>235</v>
      </c>
      <c r="R33" s="5" t="s">
        <v>33</v>
      </c>
      <c r="S33" s="5"/>
      <c r="T33" s="6" t="str">
        <f ca="1">IFERROR(__xludf.DUMMYFUNCTION("REGEXREPLACE(REGEXREPLACE(O33, ""[^0-9]"", """"), ""^620"", ""62"")"),"6287716514997")</f>
        <v>6287716514997</v>
      </c>
    </row>
    <row r="34" spans="1:20" x14ac:dyDescent="0.2">
      <c r="A34" s="4" t="s">
        <v>236</v>
      </c>
      <c r="B34" s="4"/>
      <c r="C34" s="4" t="s">
        <v>20</v>
      </c>
      <c r="D34" s="4" t="s">
        <v>35</v>
      </c>
      <c r="E34" s="4" t="s">
        <v>237</v>
      </c>
      <c r="F34" s="4" t="s">
        <v>23</v>
      </c>
      <c r="G34" s="4" t="s">
        <v>24</v>
      </c>
      <c r="H34" s="4" t="s">
        <v>25</v>
      </c>
      <c r="I34" s="4" t="s">
        <v>190</v>
      </c>
      <c r="J34" s="4" t="s">
        <v>238</v>
      </c>
      <c r="K34" s="4" t="s">
        <v>58</v>
      </c>
      <c r="L34" s="4" t="s">
        <v>49</v>
      </c>
      <c r="M34" s="4" t="s">
        <v>72</v>
      </c>
      <c r="N34" s="4"/>
      <c r="O34" s="4" t="s">
        <v>239</v>
      </c>
      <c r="P34" s="4"/>
      <c r="Q34" s="4" t="s">
        <v>240</v>
      </c>
      <c r="R34" s="5" t="s">
        <v>119</v>
      </c>
      <c r="S34" s="5" t="s">
        <v>241</v>
      </c>
      <c r="T34" s="6" t="str">
        <f ca="1">IFERROR(__xludf.DUMMYFUNCTION("REGEXREPLACE(REGEXREPLACE(O34, ""[^0-9]"", """"), ""^620"", ""62"")"),"6282245426583")</f>
        <v>6282245426583</v>
      </c>
    </row>
    <row r="35" spans="1:20" x14ac:dyDescent="0.2">
      <c r="A35" s="4" t="s">
        <v>242</v>
      </c>
      <c r="B35" s="4"/>
      <c r="C35" s="4" t="s">
        <v>20</v>
      </c>
      <c r="D35" s="4" t="s">
        <v>35</v>
      </c>
      <c r="E35" s="4" t="s">
        <v>243</v>
      </c>
      <c r="F35" s="4" t="s">
        <v>23</v>
      </c>
      <c r="G35" s="4" t="s">
        <v>24</v>
      </c>
      <c r="H35" s="4" t="s">
        <v>25</v>
      </c>
      <c r="I35" s="4" t="s">
        <v>37</v>
      </c>
      <c r="J35" s="4" t="s">
        <v>244</v>
      </c>
      <c r="K35" s="4" t="s">
        <v>28</v>
      </c>
      <c r="L35" s="4" t="s">
        <v>39</v>
      </c>
      <c r="M35" s="4" t="s">
        <v>59</v>
      </c>
      <c r="N35" s="4" t="s">
        <v>245</v>
      </c>
      <c r="O35" s="4" t="s">
        <v>246</v>
      </c>
      <c r="P35" s="4" t="s">
        <v>247</v>
      </c>
      <c r="Q35" s="4" t="s">
        <v>248</v>
      </c>
      <c r="R35" s="5" t="s">
        <v>33</v>
      </c>
      <c r="S35" s="5"/>
      <c r="T35" s="6" t="str">
        <f ca="1">IFERROR(__xludf.DUMMYFUNCTION("REGEXREPLACE(REGEXREPLACE(O35, ""[^0-9]"", """"), ""^620"", ""62"")"),"6282195035530")</f>
        <v>6282195035530</v>
      </c>
    </row>
    <row r="36" spans="1:20" x14ac:dyDescent="0.2">
      <c r="A36" s="4" t="s">
        <v>249</v>
      </c>
      <c r="B36" s="4"/>
      <c r="C36" s="4" t="s">
        <v>20</v>
      </c>
      <c r="D36" s="4" t="s">
        <v>35</v>
      </c>
      <c r="E36" s="4" t="s">
        <v>250</v>
      </c>
      <c r="F36" s="4" t="s">
        <v>23</v>
      </c>
      <c r="G36" s="4" t="s">
        <v>24</v>
      </c>
      <c r="H36" s="4" t="s">
        <v>25</v>
      </c>
      <c r="I36" s="4" t="s">
        <v>184</v>
      </c>
      <c r="J36" s="4" t="s">
        <v>251</v>
      </c>
      <c r="K36" s="4" t="s">
        <v>58</v>
      </c>
      <c r="L36" s="4" t="s">
        <v>49</v>
      </c>
      <c r="M36" s="4" t="s">
        <v>72</v>
      </c>
      <c r="N36" s="4"/>
      <c r="O36" s="4" t="s">
        <v>252</v>
      </c>
      <c r="P36" s="4" t="s">
        <v>253</v>
      </c>
      <c r="Q36" s="4" t="s">
        <v>254</v>
      </c>
      <c r="R36" s="5" t="s">
        <v>33</v>
      </c>
      <c r="S36" s="5"/>
      <c r="T36" s="6" t="str">
        <f ca="1">IFERROR(__xludf.DUMMYFUNCTION("REGEXREPLACE(REGEXREPLACE(O36, ""[^0-9]"", """"), ""^620"", ""62"")"),"6281356018196")</f>
        <v>6281356018196</v>
      </c>
    </row>
    <row r="37" spans="1:20" x14ac:dyDescent="0.2">
      <c r="A37" s="4" t="s">
        <v>255</v>
      </c>
      <c r="B37" s="4"/>
      <c r="C37" s="4" t="s">
        <v>20</v>
      </c>
      <c r="D37" s="4" t="s">
        <v>35</v>
      </c>
      <c r="E37" s="4" t="s">
        <v>256</v>
      </c>
      <c r="F37" s="4" t="s">
        <v>23</v>
      </c>
      <c r="G37" s="4" t="s">
        <v>24</v>
      </c>
      <c r="H37" s="4" t="s">
        <v>25</v>
      </c>
      <c r="I37" s="4" t="s">
        <v>190</v>
      </c>
      <c r="J37" s="4" t="s">
        <v>257</v>
      </c>
      <c r="K37" s="4" t="s">
        <v>58</v>
      </c>
      <c r="L37" s="4" t="s">
        <v>39</v>
      </c>
      <c r="M37" s="4" t="s">
        <v>59</v>
      </c>
      <c r="N37" s="4" t="s">
        <v>197</v>
      </c>
      <c r="O37" s="4" t="s">
        <v>258</v>
      </c>
      <c r="P37" s="4" t="s">
        <v>259</v>
      </c>
      <c r="Q37" s="4" t="s">
        <v>260</v>
      </c>
      <c r="R37" s="5" t="s">
        <v>33</v>
      </c>
      <c r="S37" s="5"/>
      <c r="T37" s="6" t="str">
        <f ca="1">IFERROR(__xludf.DUMMYFUNCTION("REGEXREPLACE(REGEXREPLACE(O37, ""[^0-9]"", """"), ""^620"", ""62"")"),"628293678561")</f>
        <v>628293678561</v>
      </c>
    </row>
    <row r="38" spans="1:20" x14ac:dyDescent="0.2">
      <c r="A38" s="4" t="s">
        <v>261</v>
      </c>
      <c r="B38" s="4"/>
      <c r="C38" s="4" t="s">
        <v>20</v>
      </c>
      <c r="D38" s="4" t="s">
        <v>35</v>
      </c>
      <c r="E38" s="4" t="s">
        <v>109</v>
      </c>
      <c r="F38" s="4" t="s">
        <v>23</v>
      </c>
      <c r="G38" s="4" t="s">
        <v>24</v>
      </c>
      <c r="H38" s="4" t="s">
        <v>25</v>
      </c>
      <c r="I38" s="4" t="s">
        <v>26</v>
      </c>
      <c r="J38" s="4" t="s">
        <v>262</v>
      </c>
      <c r="K38" s="4" t="s">
        <v>58</v>
      </c>
      <c r="L38" s="4" t="s">
        <v>39</v>
      </c>
      <c r="M38" s="4" t="s">
        <v>59</v>
      </c>
      <c r="N38" s="4" t="s">
        <v>263</v>
      </c>
      <c r="O38" s="4" t="s">
        <v>264</v>
      </c>
      <c r="P38" s="4" t="s">
        <v>265</v>
      </c>
      <c r="Q38" s="4" t="s">
        <v>266</v>
      </c>
      <c r="R38" s="5" t="s">
        <v>33</v>
      </c>
      <c r="S38" s="5"/>
      <c r="T38" s="6" t="str">
        <f ca="1">IFERROR(__xludf.DUMMYFUNCTION("REGEXREPLACE(REGEXREPLACE(O38, ""[^0-9]"", """"), ""^620"", ""62"")"),"6285363739180")</f>
        <v>6285363739180</v>
      </c>
    </row>
    <row r="39" spans="1:20" x14ac:dyDescent="0.2">
      <c r="A39" s="4" t="s">
        <v>267</v>
      </c>
      <c r="B39" s="4"/>
      <c r="C39" s="4" t="s">
        <v>20</v>
      </c>
      <c r="D39" s="4" t="s">
        <v>35</v>
      </c>
      <c r="E39" s="4" t="s">
        <v>268</v>
      </c>
      <c r="F39" s="4" t="s">
        <v>23</v>
      </c>
      <c r="G39" s="4" t="s">
        <v>24</v>
      </c>
      <c r="H39" s="4" t="s">
        <v>25</v>
      </c>
      <c r="I39" s="4" t="s">
        <v>47</v>
      </c>
      <c r="J39" s="4" t="s">
        <v>269</v>
      </c>
      <c r="K39" s="4" t="s">
        <v>58</v>
      </c>
      <c r="L39" s="4" t="s">
        <v>39</v>
      </c>
      <c r="M39" s="4" t="s">
        <v>72</v>
      </c>
      <c r="N39" s="4"/>
      <c r="O39" s="4" t="s">
        <v>270</v>
      </c>
      <c r="P39" s="4" t="s">
        <v>271</v>
      </c>
      <c r="Q39" s="4" t="s">
        <v>272</v>
      </c>
      <c r="R39" s="5" t="s">
        <v>33</v>
      </c>
      <c r="S39" s="5"/>
      <c r="T39" s="6" t="str">
        <f ca="1">IFERROR(__xludf.DUMMYFUNCTION("REGEXREPLACE(REGEXREPLACE(O39, ""[^0-9]"", """"), ""^620"", ""62"")"),"6285322959123")</f>
        <v>6285322959123</v>
      </c>
    </row>
    <row r="40" spans="1:20" x14ac:dyDescent="0.2">
      <c r="A40" s="4" t="s">
        <v>273</v>
      </c>
      <c r="B40" s="4"/>
      <c r="C40" s="4" t="s">
        <v>20</v>
      </c>
      <c r="D40" s="4" t="s">
        <v>35</v>
      </c>
      <c r="E40" s="4" t="s">
        <v>274</v>
      </c>
      <c r="F40" s="4" t="s">
        <v>23</v>
      </c>
      <c r="G40" s="4" t="s">
        <v>24</v>
      </c>
      <c r="H40" s="4" t="s">
        <v>25</v>
      </c>
      <c r="I40" s="4" t="s">
        <v>37</v>
      </c>
      <c r="J40" s="4" t="s">
        <v>275</v>
      </c>
      <c r="K40" s="4" t="s">
        <v>58</v>
      </c>
      <c r="L40" s="4" t="s">
        <v>49</v>
      </c>
      <c r="M40" s="4" t="s">
        <v>72</v>
      </c>
      <c r="N40" s="4"/>
      <c r="O40" s="4" t="s">
        <v>276</v>
      </c>
      <c r="P40" s="4" t="s">
        <v>277</v>
      </c>
      <c r="Q40" s="4" t="s">
        <v>278</v>
      </c>
      <c r="R40" s="5" t="s">
        <v>33</v>
      </c>
      <c r="S40" s="5"/>
      <c r="T40" s="6" t="str">
        <f ca="1">IFERROR(__xludf.DUMMYFUNCTION("REGEXREPLACE(REGEXREPLACE(O40, ""[^0-9]"", """"), ""^620"", ""62"")"),"6285399222294")</f>
        <v>6285399222294</v>
      </c>
    </row>
    <row r="41" spans="1:20" x14ac:dyDescent="0.2">
      <c r="A41" s="4" t="s">
        <v>279</v>
      </c>
      <c r="B41" s="4"/>
      <c r="C41" s="4" t="s">
        <v>20</v>
      </c>
      <c r="D41" s="4" t="s">
        <v>35</v>
      </c>
      <c r="E41" s="4" t="s">
        <v>280</v>
      </c>
      <c r="F41" s="4" t="s">
        <v>23</v>
      </c>
      <c r="G41" s="4" t="s">
        <v>24</v>
      </c>
      <c r="H41" s="4" t="s">
        <v>25</v>
      </c>
      <c r="I41" s="4" t="s">
        <v>144</v>
      </c>
      <c r="J41" s="4" t="s">
        <v>281</v>
      </c>
      <c r="K41" s="4" t="s">
        <v>28</v>
      </c>
      <c r="L41" s="4" t="s">
        <v>39</v>
      </c>
      <c r="M41" s="4" t="s">
        <v>78</v>
      </c>
      <c r="N41" s="4"/>
      <c r="O41" s="4" t="s">
        <v>282</v>
      </c>
      <c r="P41" s="4" t="s">
        <v>283</v>
      </c>
      <c r="Q41" s="4" t="s">
        <v>284</v>
      </c>
      <c r="R41" s="5" t="s">
        <v>33</v>
      </c>
      <c r="S41" s="5"/>
      <c r="T41" s="6" t="str">
        <f ca="1">IFERROR(__xludf.DUMMYFUNCTION("REGEXREPLACE(REGEXREPLACE(O41, ""[^0-9]"", """"), ""^620"", ""62"")"),"6285825147270")</f>
        <v>6285825147270</v>
      </c>
    </row>
    <row r="42" spans="1:20" x14ac:dyDescent="0.2">
      <c r="A42" s="4" t="s">
        <v>285</v>
      </c>
      <c r="B42" s="4"/>
      <c r="C42" s="4" t="s">
        <v>20</v>
      </c>
      <c r="D42" s="4" t="s">
        <v>21</v>
      </c>
      <c r="E42" s="4" t="s">
        <v>286</v>
      </c>
      <c r="F42" s="4" t="s">
        <v>23</v>
      </c>
      <c r="G42" s="4" t="s">
        <v>24</v>
      </c>
      <c r="H42" s="4" t="s">
        <v>25</v>
      </c>
      <c r="I42" s="4" t="s">
        <v>56</v>
      </c>
      <c r="J42" s="4" t="s">
        <v>287</v>
      </c>
      <c r="K42" s="4" t="s">
        <v>28</v>
      </c>
      <c r="L42" s="4" t="s">
        <v>49</v>
      </c>
      <c r="M42" s="4" t="s">
        <v>59</v>
      </c>
      <c r="N42" s="4" t="s">
        <v>288</v>
      </c>
      <c r="O42" s="4" t="s">
        <v>289</v>
      </c>
      <c r="P42" s="4"/>
      <c r="Q42" s="4" t="s">
        <v>290</v>
      </c>
      <c r="R42" s="5" t="s">
        <v>43</v>
      </c>
      <c r="S42" s="5" t="s">
        <v>291</v>
      </c>
      <c r="T42" s="6" t="str">
        <f ca="1">IFERROR(__xludf.DUMMYFUNCTION("REGEXREPLACE(REGEXREPLACE(O42, ""[^0-9]"", """"), ""^620"", ""62"")"),"6282315931195")</f>
        <v>6282315931195</v>
      </c>
    </row>
    <row r="43" spans="1:20" x14ac:dyDescent="0.2">
      <c r="A43" s="4" t="s">
        <v>292</v>
      </c>
      <c r="B43" s="4"/>
      <c r="C43" s="4" t="s">
        <v>20</v>
      </c>
      <c r="D43" s="4" t="s">
        <v>21</v>
      </c>
      <c r="E43" s="4" t="s">
        <v>293</v>
      </c>
      <c r="F43" s="4" t="s">
        <v>23</v>
      </c>
      <c r="G43" s="4" t="s">
        <v>24</v>
      </c>
      <c r="H43" s="4" t="s">
        <v>25</v>
      </c>
      <c r="I43" s="4" t="s">
        <v>56</v>
      </c>
      <c r="J43" s="4" t="s">
        <v>294</v>
      </c>
      <c r="K43" s="4" t="s">
        <v>28</v>
      </c>
      <c r="L43" s="4" t="s">
        <v>29</v>
      </c>
      <c r="M43" s="4" t="s">
        <v>50</v>
      </c>
      <c r="N43" s="4"/>
      <c r="O43" s="4" t="s">
        <v>295</v>
      </c>
      <c r="P43" s="4"/>
      <c r="Q43" s="4" t="s">
        <v>296</v>
      </c>
      <c r="R43" s="5" t="s">
        <v>43</v>
      </c>
      <c r="S43" s="5" t="s">
        <v>86</v>
      </c>
      <c r="T43" s="6" t="str">
        <f ca="1">IFERROR(__xludf.DUMMYFUNCTION("REGEXREPLACE(REGEXREPLACE(O43, ""[^0-9]"", """"), ""^620"", ""62"")"),"6285395430322")</f>
        <v>6285395430322</v>
      </c>
    </row>
    <row r="44" spans="1:20" x14ac:dyDescent="0.2">
      <c r="A44" s="4" t="s">
        <v>297</v>
      </c>
      <c r="B44" s="4"/>
      <c r="C44" s="4" t="s">
        <v>20</v>
      </c>
      <c r="D44" s="4" t="s">
        <v>21</v>
      </c>
      <c r="E44" s="4" t="s">
        <v>298</v>
      </c>
      <c r="F44" s="4" t="s">
        <v>23</v>
      </c>
      <c r="G44" s="4" t="s">
        <v>24</v>
      </c>
      <c r="H44" s="4" t="s">
        <v>25</v>
      </c>
      <c r="I44" s="4" t="s">
        <v>299</v>
      </c>
      <c r="J44" s="4" t="s">
        <v>300</v>
      </c>
      <c r="K44" s="4" t="s">
        <v>28</v>
      </c>
      <c r="L44" s="4" t="s">
        <v>49</v>
      </c>
      <c r="M44" s="4" t="s">
        <v>59</v>
      </c>
      <c r="N44" s="4" t="s">
        <v>301</v>
      </c>
      <c r="O44" s="4" t="s">
        <v>302</v>
      </c>
      <c r="P44" s="4"/>
      <c r="Q44" s="4" t="s">
        <v>303</v>
      </c>
      <c r="R44" s="5" t="s">
        <v>43</v>
      </c>
      <c r="S44" s="5" t="s">
        <v>304</v>
      </c>
      <c r="T44" s="6" t="str">
        <f ca="1">IFERROR(__xludf.DUMMYFUNCTION("REGEXREPLACE(REGEXREPLACE(O44, ""[^0-9]"", """"), ""^620"", ""62"")"),"6285314053608")</f>
        <v>6285314053608</v>
      </c>
    </row>
    <row r="45" spans="1:20" x14ac:dyDescent="0.2">
      <c r="A45" s="4" t="s">
        <v>305</v>
      </c>
      <c r="B45" s="4"/>
      <c r="C45" s="4" t="s">
        <v>20</v>
      </c>
      <c r="D45" s="4" t="s">
        <v>21</v>
      </c>
      <c r="E45" s="4" t="s">
        <v>286</v>
      </c>
      <c r="F45" s="4" t="s">
        <v>23</v>
      </c>
      <c r="G45" s="4" t="s">
        <v>24</v>
      </c>
      <c r="H45" s="4" t="s">
        <v>25</v>
      </c>
      <c r="I45" s="4" t="s">
        <v>56</v>
      </c>
      <c r="J45" s="4" t="s">
        <v>306</v>
      </c>
      <c r="K45" s="4" t="s">
        <v>28</v>
      </c>
      <c r="L45" s="4" t="s">
        <v>49</v>
      </c>
      <c r="M45" s="4" t="s">
        <v>66</v>
      </c>
      <c r="N45" s="4"/>
      <c r="O45" s="4" t="s">
        <v>307</v>
      </c>
      <c r="P45" s="4"/>
      <c r="Q45" s="4" t="s">
        <v>308</v>
      </c>
      <c r="R45" s="5" t="s">
        <v>43</v>
      </c>
      <c r="S45" s="5"/>
      <c r="T45" s="6" t="str">
        <f ca="1">IFERROR(__xludf.DUMMYFUNCTION("REGEXREPLACE(REGEXREPLACE(O45, ""[^0-9]"", """"), ""^620"", ""62"")"),"6281315617205")</f>
        <v>6281315617205</v>
      </c>
    </row>
    <row r="46" spans="1:20" x14ac:dyDescent="0.2">
      <c r="A46" s="4" t="s">
        <v>309</v>
      </c>
      <c r="B46" s="4"/>
      <c r="C46" s="4" t="s">
        <v>20</v>
      </c>
      <c r="D46" s="4" t="s">
        <v>21</v>
      </c>
      <c r="E46" s="4" t="s">
        <v>286</v>
      </c>
      <c r="F46" s="4" t="s">
        <v>23</v>
      </c>
      <c r="G46" s="4" t="s">
        <v>24</v>
      </c>
      <c r="H46" s="4" t="s">
        <v>25</v>
      </c>
      <c r="I46" s="4" t="s">
        <v>56</v>
      </c>
      <c r="J46" s="4" t="s">
        <v>310</v>
      </c>
      <c r="K46" s="4" t="s">
        <v>28</v>
      </c>
      <c r="L46" s="4" t="s">
        <v>49</v>
      </c>
      <c r="M46" s="4" t="s">
        <v>59</v>
      </c>
      <c r="N46" s="4" t="s">
        <v>288</v>
      </c>
      <c r="O46" s="4" t="s">
        <v>311</v>
      </c>
      <c r="P46" s="4"/>
      <c r="Q46" s="4" t="s">
        <v>312</v>
      </c>
      <c r="R46" s="5" t="s">
        <v>43</v>
      </c>
      <c r="S46" s="5" t="s">
        <v>313</v>
      </c>
      <c r="T46" s="6" t="str">
        <f ca="1">IFERROR(__xludf.DUMMYFUNCTION("REGEXREPLACE(REGEXREPLACE(O46, ""[^0-9]"", """"), ""^620"", ""62"")"),"6285126447798")</f>
        <v>6285126447798</v>
      </c>
    </row>
    <row r="47" spans="1:20" x14ac:dyDescent="0.2">
      <c r="A47" s="4" t="s">
        <v>314</v>
      </c>
      <c r="B47" s="4"/>
      <c r="C47" s="4" t="s">
        <v>20</v>
      </c>
      <c r="D47" s="4" t="s">
        <v>21</v>
      </c>
      <c r="E47" s="4" t="s">
        <v>315</v>
      </c>
      <c r="F47" s="4" t="s">
        <v>23</v>
      </c>
      <c r="G47" s="4" t="s">
        <v>24</v>
      </c>
      <c r="H47" s="4" t="s">
        <v>25</v>
      </c>
      <c r="I47" s="4" t="s">
        <v>207</v>
      </c>
      <c r="J47" s="4" t="s">
        <v>316</v>
      </c>
      <c r="K47" s="4" t="s">
        <v>28</v>
      </c>
      <c r="L47" s="4" t="s">
        <v>29</v>
      </c>
      <c r="M47" s="4" t="s">
        <v>59</v>
      </c>
      <c r="N47" s="4" t="s">
        <v>317</v>
      </c>
      <c r="O47" s="4" t="s">
        <v>318</v>
      </c>
      <c r="P47" s="4"/>
      <c r="Q47" s="4" t="s">
        <v>319</v>
      </c>
      <c r="R47" s="5" t="s">
        <v>43</v>
      </c>
      <c r="S47" s="5" t="s">
        <v>86</v>
      </c>
      <c r="T47" s="6" t="str">
        <f ca="1">IFERROR(__xludf.DUMMYFUNCTION("REGEXREPLACE(REGEXREPLACE(O47, ""[^0-9]"", """"), ""^620"", ""62"")"),"6285240757550")</f>
        <v>6285240757550</v>
      </c>
    </row>
    <row r="48" spans="1:20" x14ac:dyDescent="0.2">
      <c r="A48" s="4" t="s">
        <v>320</v>
      </c>
      <c r="B48" s="4"/>
      <c r="C48" s="4" t="s">
        <v>20</v>
      </c>
      <c r="D48" s="4" t="s">
        <v>21</v>
      </c>
      <c r="E48" s="4" t="s">
        <v>321</v>
      </c>
      <c r="F48" s="4" t="s">
        <v>23</v>
      </c>
      <c r="G48" s="4" t="s">
        <v>24</v>
      </c>
      <c r="H48" s="4" t="s">
        <v>25</v>
      </c>
      <c r="I48" s="4" t="s">
        <v>56</v>
      </c>
      <c r="J48" s="4" t="s">
        <v>322</v>
      </c>
      <c r="K48" s="4" t="s">
        <v>58</v>
      </c>
      <c r="L48" s="4" t="s">
        <v>39</v>
      </c>
      <c r="M48" s="4" t="s">
        <v>50</v>
      </c>
      <c r="N48" s="4"/>
      <c r="O48" s="4" t="s">
        <v>323</v>
      </c>
      <c r="P48" s="4"/>
      <c r="Q48" s="4" t="s">
        <v>324</v>
      </c>
      <c r="R48" s="5" t="s">
        <v>33</v>
      </c>
      <c r="S48" s="5" t="s">
        <v>325</v>
      </c>
      <c r="T48" s="6" t="str">
        <f ca="1">IFERROR(__xludf.DUMMYFUNCTION("REGEXREPLACE(REGEXREPLACE(O48, ""[^0-9]"", """"), ""^620"", ""62"")"),"6285696572385")</f>
        <v>6285696572385</v>
      </c>
    </row>
    <row r="49" spans="1:20" x14ac:dyDescent="0.2">
      <c r="A49" s="4" t="s">
        <v>326</v>
      </c>
      <c r="B49" s="4"/>
      <c r="C49" s="4" t="s">
        <v>20</v>
      </c>
      <c r="D49" s="4" t="s">
        <v>21</v>
      </c>
      <c r="E49" s="4" t="s">
        <v>327</v>
      </c>
      <c r="F49" s="4" t="s">
        <v>23</v>
      </c>
      <c r="G49" s="4" t="s">
        <v>24</v>
      </c>
      <c r="H49" s="4" t="s">
        <v>25</v>
      </c>
      <c r="I49" s="4" t="s">
        <v>184</v>
      </c>
      <c r="J49" s="4" t="s">
        <v>328</v>
      </c>
      <c r="K49" s="4" t="s">
        <v>28</v>
      </c>
      <c r="L49" s="4" t="s">
        <v>39</v>
      </c>
      <c r="M49" s="4" t="s">
        <v>66</v>
      </c>
      <c r="N49" s="4"/>
      <c r="O49" s="4" t="s">
        <v>329</v>
      </c>
      <c r="P49" s="4" t="s">
        <v>330</v>
      </c>
      <c r="Q49" s="4" t="s">
        <v>331</v>
      </c>
      <c r="R49" s="5" t="s">
        <v>43</v>
      </c>
      <c r="S49" s="5" t="s">
        <v>332</v>
      </c>
      <c r="T49" s="6" t="str">
        <f ca="1">IFERROR(__xludf.DUMMYFUNCTION("REGEXREPLACE(REGEXREPLACE(O49, ""[^0-9]"", """"), ""^620"", ""62"")"),"6281355861851")</f>
        <v>6281355861851</v>
      </c>
    </row>
    <row r="50" spans="1:20" x14ac:dyDescent="0.2">
      <c r="A50" s="4" t="s">
        <v>333</v>
      </c>
      <c r="B50" s="4"/>
      <c r="C50" s="4" t="s">
        <v>20</v>
      </c>
      <c r="D50" s="4" t="s">
        <v>21</v>
      </c>
      <c r="E50" s="4" t="s">
        <v>143</v>
      </c>
      <c r="F50" s="4" t="s">
        <v>23</v>
      </c>
      <c r="G50" s="4" t="s">
        <v>24</v>
      </c>
      <c r="H50" s="4" t="s">
        <v>25</v>
      </c>
      <c r="I50" s="4" t="s">
        <v>144</v>
      </c>
      <c r="J50" s="4" t="s">
        <v>334</v>
      </c>
      <c r="K50" s="4" t="s">
        <v>58</v>
      </c>
      <c r="L50" s="4" t="s">
        <v>39</v>
      </c>
      <c r="M50" s="4" t="s">
        <v>59</v>
      </c>
      <c r="N50" s="4" t="s">
        <v>335</v>
      </c>
      <c r="O50" s="4" t="s">
        <v>336</v>
      </c>
      <c r="P50" s="4"/>
      <c r="Q50" s="4" t="s">
        <v>337</v>
      </c>
      <c r="R50" s="5" t="s">
        <v>33</v>
      </c>
      <c r="S50" s="5"/>
      <c r="T50" s="6" t="str">
        <f ca="1">IFERROR(__xludf.DUMMYFUNCTION("REGEXREPLACE(REGEXREPLACE(O50, ""[^0-9]"", """"), ""^620"", ""62"")"),"6285756225583")</f>
        <v>6285756225583</v>
      </c>
    </row>
    <row r="51" spans="1:20" x14ac:dyDescent="0.2">
      <c r="A51" s="4" t="s">
        <v>338</v>
      </c>
      <c r="B51" s="4"/>
      <c r="C51" s="4" t="s">
        <v>20</v>
      </c>
      <c r="D51" s="4" t="s">
        <v>21</v>
      </c>
      <c r="E51" s="4" t="s">
        <v>339</v>
      </c>
      <c r="F51" s="4" t="s">
        <v>23</v>
      </c>
      <c r="G51" s="4" t="s">
        <v>24</v>
      </c>
      <c r="H51" s="4" t="s">
        <v>25</v>
      </c>
      <c r="I51" s="4" t="s">
        <v>56</v>
      </c>
      <c r="J51" s="4" t="s">
        <v>340</v>
      </c>
      <c r="K51" s="4" t="s">
        <v>28</v>
      </c>
      <c r="L51" s="4" t="s">
        <v>39</v>
      </c>
      <c r="M51" s="4" t="s">
        <v>59</v>
      </c>
      <c r="N51" s="4" t="s">
        <v>341</v>
      </c>
      <c r="O51" s="4" t="s">
        <v>342</v>
      </c>
      <c r="P51" s="4" t="s">
        <v>343</v>
      </c>
      <c r="Q51" s="4" t="s">
        <v>344</v>
      </c>
      <c r="R51" s="5" t="s">
        <v>33</v>
      </c>
      <c r="S51" s="5" t="s">
        <v>345</v>
      </c>
      <c r="T51" s="6" t="str">
        <f ca="1">IFERROR(__xludf.DUMMYFUNCTION("REGEXREPLACE(REGEXREPLACE(O51, ""[^0-9]"", """"), ""^620"", ""62"")"),"6285255604264")</f>
        <v>6285255604264</v>
      </c>
    </row>
    <row r="52" spans="1:20" x14ac:dyDescent="0.2">
      <c r="A52" s="4" t="s">
        <v>346</v>
      </c>
      <c r="B52" s="4"/>
      <c r="C52" s="4" t="s">
        <v>20</v>
      </c>
      <c r="D52" s="4" t="s">
        <v>21</v>
      </c>
      <c r="E52" s="4" t="s">
        <v>347</v>
      </c>
      <c r="F52" s="4" t="s">
        <v>23</v>
      </c>
      <c r="G52" s="4" t="s">
        <v>24</v>
      </c>
      <c r="H52" s="4" t="s">
        <v>25</v>
      </c>
      <c r="I52" s="4" t="s">
        <v>26</v>
      </c>
      <c r="J52" s="4" t="s">
        <v>348</v>
      </c>
      <c r="K52" s="4" t="s">
        <v>28</v>
      </c>
      <c r="L52" s="4" t="s">
        <v>39</v>
      </c>
      <c r="M52" s="4" t="s">
        <v>349</v>
      </c>
      <c r="N52" s="4"/>
      <c r="O52" s="4" t="s">
        <v>350</v>
      </c>
      <c r="P52" s="4" t="s">
        <v>351</v>
      </c>
      <c r="Q52" s="4" t="s">
        <v>352</v>
      </c>
      <c r="R52" s="5" t="s">
        <v>33</v>
      </c>
      <c r="S52" s="5"/>
      <c r="T52" s="6" t="str">
        <f ca="1">IFERROR(__xludf.DUMMYFUNCTION("REGEXREPLACE(REGEXREPLACE(O52, ""[^0-9]"", """"), ""^620"", ""62"")"),"6285399984680")</f>
        <v>6285399984680</v>
      </c>
    </row>
    <row r="53" spans="1:20" x14ac:dyDescent="0.2">
      <c r="A53" s="4" t="s">
        <v>353</v>
      </c>
      <c r="B53" s="4"/>
      <c r="C53" s="4" t="s">
        <v>20</v>
      </c>
      <c r="D53" s="4" t="s">
        <v>21</v>
      </c>
      <c r="E53" s="4" t="s">
        <v>354</v>
      </c>
      <c r="F53" s="4" t="s">
        <v>23</v>
      </c>
      <c r="G53" s="4" t="s">
        <v>24</v>
      </c>
      <c r="H53" s="4" t="s">
        <v>25</v>
      </c>
      <c r="I53" s="4" t="s">
        <v>26</v>
      </c>
      <c r="J53" s="4" t="s">
        <v>355</v>
      </c>
      <c r="K53" s="4" t="s">
        <v>28</v>
      </c>
      <c r="L53" s="4" t="s">
        <v>49</v>
      </c>
      <c r="M53" s="4" t="s">
        <v>59</v>
      </c>
      <c r="N53" s="4" t="s">
        <v>356</v>
      </c>
      <c r="O53" s="4" t="s">
        <v>357</v>
      </c>
      <c r="P53" s="4" t="s">
        <v>358</v>
      </c>
      <c r="Q53" s="4" t="s">
        <v>359</v>
      </c>
      <c r="R53" s="5" t="s">
        <v>33</v>
      </c>
      <c r="S53" s="5"/>
      <c r="T53" s="6" t="str">
        <f ca="1">IFERROR(__xludf.DUMMYFUNCTION("REGEXREPLACE(REGEXREPLACE(O53, ""[^0-9]"", """"), ""^620"", ""62"")"),"6285713213244")</f>
        <v>6285713213244</v>
      </c>
    </row>
    <row r="54" spans="1:20" x14ac:dyDescent="0.2">
      <c r="A54" s="4" t="s">
        <v>360</v>
      </c>
      <c r="B54" s="4"/>
      <c r="C54" s="4" t="s">
        <v>20</v>
      </c>
      <c r="D54" s="4" t="s">
        <v>21</v>
      </c>
      <c r="E54" s="4" t="s">
        <v>158</v>
      </c>
      <c r="F54" s="4" t="s">
        <v>23</v>
      </c>
      <c r="G54" s="4" t="s">
        <v>24</v>
      </c>
      <c r="H54" s="4" t="s">
        <v>25</v>
      </c>
      <c r="I54" s="4" t="s">
        <v>136</v>
      </c>
      <c r="J54" s="4" t="s">
        <v>361</v>
      </c>
      <c r="K54" s="4" t="s">
        <v>28</v>
      </c>
      <c r="L54" s="4" t="s">
        <v>39</v>
      </c>
      <c r="M54" s="4" t="s">
        <v>78</v>
      </c>
      <c r="N54" s="4"/>
      <c r="O54" s="4" t="s">
        <v>362</v>
      </c>
      <c r="P54" s="4" t="s">
        <v>363</v>
      </c>
      <c r="Q54" s="4" t="s">
        <v>364</v>
      </c>
      <c r="R54" s="5" t="s">
        <v>33</v>
      </c>
      <c r="S54" s="5"/>
      <c r="T54" s="6" t="str">
        <f ca="1">IFERROR(__xludf.DUMMYFUNCTION("REGEXREPLACE(REGEXREPLACE(O54, ""[^0-9]"", """"), ""^620"", ""62"")"),"6285242414487")</f>
        <v>6285242414487</v>
      </c>
    </row>
    <row r="55" spans="1:20" x14ac:dyDescent="0.2">
      <c r="A55" s="4" t="s">
        <v>365</v>
      </c>
      <c r="B55" s="4"/>
      <c r="C55" s="4" t="s">
        <v>20</v>
      </c>
      <c r="D55" s="4" t="s">
        <v>21</v>
      </c>
      <c r="E55" s="4" t="s">
        <v>366</v>
      </c>
      <c r="F55" s="4" t="s">
        <v>23</v>
      </c>
      <c r="G55" s="4" t="s">
        <v>24</v>
      </c>
      <c r="H55" s="4" t="s">
        <v>25</v>
      </c>
      <c r="I55" s="4" t="s">
        <v>299</v>
      </c>
      <c r="J55" s="4" t="s">
        <v>367</v>
      </c>
      <c r="K55" s="4" t="s">
        <v>28</v>
      </c>
      <c r="L55" s="4" t="s">
        <v>39</v>
      </c>
      <c r="M55" s="4" t="s">
        <v>66</v>
      </c>
      <c r="N55" s="4"/>
      <c r="O55" s="4" t="s">
        <v>368</v>
      </c>
      <c r="P55" s="4" t="s">
        <v>369</v>
      </c>
      <c r="Q55" s="4" t="s">
        <v>370</v>
      </c>
      <c r="R55" s="5" t="s">
        <v>43</v>
      </c>
      <c r="S55" s="5" t="s">
        <v>371</v>
      </c>
      <c r="T55" s="6" t="str">
        <f ca="1">IFERROR(__xludf.DUMMYFUNCTION("REGEXREPLACE(REGEXREPLACE(O55, ""[^0-9]"", """"), ""^620"", ""62"")"),"6285396004161")</f>
        <v>6285396004161</v>
      </c>
    </row>
    <row r="56" spans="1:20" x14ac:dyDescent="0.2">
      <c r="A56" s="4" t="s">
        <v>372</v>
      </c>
      <c r="B56" s="4"/>
      <c r="C56" s="4" t="s">
        <v>20</v>
      </c>
      <c r="D56" s="4" t="s">
        <v>21</v>
      </c>
      <c r="E56" s="4" t="s">
        <v>373</v>
      </c>
      <c r="F56" s="4" t="s">
        <v>23</v>
      </c>
      <c r="G56" s="4" t="s">
        <v>24</v>
      </c>
      <c r="H56" s="4" t="s">
        <v>25</v>
      </c>
      <c r="I56" s="4" t="s">
        <v>56</v>
      </c>
      <c r="J56" s="4" t="s">
        <v>374</v>
      </c>
      <c r="K56" s="4" t="s">
        <v>28</v>
      </c>
      <c r="L56" s="4" t="s">
        <v>39</v>
      </c>
      <c r="M56" s="4" t="s">
        <v>72</v>
      </c>
      <c r="N56" s="4"/>
      <c r="O56" s="4" t="s">
        <v>375</v>
      </c>
      <c r="P56" s="4"/>
      <c r="Q56" s="4" t="s">
        <v>376</v>
      </c>
      <c r="R56" s="5" t="s">
        <v>43</v>
      </c>
      <c r="S56" s="5" t="s">
        <v>377</v>
      </c>
      <c r="T56" s="6" t="str">
        <f ca="1">IFERROR(__xludf.DUMMYFUNCTION("REGEXREPLACE(REGEXREPLACE(O56, ""[^0-9]"", """"), ""^620"", ""62"")"),"6281333550507")</f>
        <v>6281333550507</v>
      </c>
    </row>
    <row r="57" spans="1:20" x14ac:dyDescent="0.2">
      <c r="A57" s="4" t="s">
        <v>378</v>
      </c>
      <c r="B57" s="4"/>
      <c r="C57" s="4" t="s">
        <v>20</v>
      </c>
      <c r="D57" s="4" t="s">
        <v>21</v>
      </c>
      <c r="E57" s="4" t="s">
        <v>379</v>
      </c>
      <c r="F57" s="4" t="s">
        <v>23</v>
      </c>
      <c r="G57" s="4" t="s">
        <v>24</v>
      </c>
      <c r="H57" s="4" t="s">
        <v>25</v>
      </c>
      <c r="I57" s="4" t="s">
        <v>380</v>
      </c>
      <c r="J57" s="4" t="s">
        <v>381</v>
      </c>
      <c r="K57" s="4" t="s">
        <v>58</v>
      </c>
      <c r="L57" s="4" t="s">
        <v>39</v>
      </c>
      <c r="M57" s="4" t="s">
        <v>50</v>
      </c>
      <c r="N57" s="4"/>
      <c r="O57" s="4" t="s">
        <v>382</v>
      </c>
      <c r="P57" s="4" t="s">
        <v>383</v>
      </c>
      <c r="Q57" s="4" t="s">
        <v>384</v>
      </c>
      <c r="R57" s="5" t="s">
        <v>33</v>
      </c>
      <c r="S57" s="5"/>
      <c r="T57" s="6" t="str">
        <f ca="1">IFERROR(__xludf.DUMMYFUNCTION("REGEXREPLACE(REGEXREPLACE(O57, ""[^0-9]"", """"), ""^620"", ""62"")"),"6281527278848")</f>
        <v>6281527278848</v>
      </c>
    </row>
    <row r="58" spans="1:20" x14ac:dyDescent="0.2">
      <c r="A58" s="4" t="s">
        <v>385</v>
      </c>
      <c r="B58" s="4"/>
      <c r="C58" s="4" t="s">
        <v>20</v>
      </c>
      <c r="D58" s="4" t="s">
        <v>21</v>
      </c>
      <c r="E58" s="4" t="s">
        <v>386</v>
      </c>
      <c r="F58" s="4" t="s">
        <v>23</v>
      </c>
      <c r="G58" s="4" t="s">
        <v>24</v>
      </c>
      <c r="H58" s="4" t="s">
        <v>25</v>
      </c>
      <c r="I58" s="4" t="s">
        <v>47</v>
      </c>
      <c r="J58" s="4" t="s">
        <v>387</v>
      </c>
      <c r="K58" s="4" t="s">
        <v>58</v>
      </c>
      <c r="L58" s="4" t="s">
        <v>49</v>
      </c>
      <c r="M58" s="4" t="s">
        <v>59</v>
      </c>
      <c r="N58" s="4" t="s">
        <v>388</v>
      </c>
      <c r="O58" s="4" t="s">
        <v>389</v>
      </c>
      <c r="P58" s="4"/>
      <c r="Q58" s="4" t="s">
        <v>390</v>
      </c>
      <c r="R58" s="5" t="s">
        <v>43</v>
      </c>
      <c r="S58" s="5" t="s">
        <v>377</v>
      </c>
      <c r="T58" s="6" t="str">
        <f ca="1">IFERROR(__xludf.DUMMYFUNCTION("REGEXREPLACE(REGEXREPLACE(O58, ""[^0-9]"", """"), ""^620"", ""62"")"),"6281242823249")</f>
        <v>6281242823249</v>
      </c>
    </row>
    <row r="59" spans="1:20" x14ac:dyDescent="0.2">
      <c r="A59" s="4" t="s">
        <v>391</v>
      </c>
      <c r="B59" s="4"/>
      <c r="C59" s="4" t="s">
        <v>20</v>
      </c>
      <c r="D59" s="4" t="s">
        <v>21</v>
      </c>
      <c r="E59" s="4" t="s">
        <v>392</v>
      </c>
      <c r="F59" s="4" t="s">
        <v>23</v>
      </c>
      <c r="G59" s="4" t="s">
        <v>24</v>
      </c>
      <c r="H59" s="4" t="s">
        <v>25</v>
      </c>
      <c r="I59" s="4" t="s">
        <v>136</v>
      </c>
      <c r="J59" s="4" t="s">
        <v>393</v>
      </c>
      <c r="K59" s="4" t="s">
        <v>28</v>
      </c>
      <c r="L59" s="4" t="s">
        <v>29</v>
      </c>
      <c r="M59" s="4" t="s">
        <v>349</v>
      </c>
      <c r="N59" s="4"/>
      <c r="O59" s="4" t="s">
        <v>394</v>
      </c>
      <c r="P59" s="4" t="s">
        <v>395</v>
      </c>
      <c r="Q59" s="4" t="s">
        <v>396</v>
      </c>
      <c r="R59" s="5" t="s">
        <v>33</v>
      </c>
      <c r="S59" s="5"/>
      <c r="T59" s="6" t="str">
        <f ca="1">IFERROR(__xludf.DUMMYFUNCTION("REGEXREPLACE(REGEXREPLACE(O59, ""[^0-9]"", """"), ""^620"", ""62"")"),"6289514200070")</f>
        <v>6289514200070</v>
      </c>
    </row>
    <row r="60" spans="1:20" x14ac:dyDescent="0.2">
      <c r="A60" s="4" t="s">
        <v>397</v>
      </c>
      <c r="B60" s="4"/>
      <c r="C60" s="4" t="s">
        <v>20</v>
      </c>
      <c r="D60" s="4" t="s">
        <v>21</v>
      </c>
      <c r="E60" s="4" t="s">
        <v>398</v>
      </c>
      <c r="F60" s="4" t="s">
        <v>23</v>
      </c>
      <c r="G60" s="4" t="s">
        <v>24</v>
      </c>
      <c r="H60" s="4" t="s">
        <v>25</v>
      </c>
      <c r="I60" s="4" t="s">
        <v>47</v>
      </c>
      <c r="J60" s="4" t="s">
        <v>399</v>
      </c>
      <c r="K60" s="4" t="s">
        <v>28</v>
      </c>
      <c r="L60" s="4" t="s">
        <v>39</v>
      </c>
      <c r="M60" s="4" t="s">
        <v>66</v>
      </c>
      <c r="N60" s="4"/>
      <c r="O60" s="4" t="s">
        <v>400</v>
      </c>
      <c r="P60" s="4" t="s">
        <v>401</v>
      </c>
      <c r="Q60" s="4" t="s">
        <v>402</v>
      </c>
      <c r="R60" s="5" t="s">
        <v>33</v>
      </c>
      <c r="S60" s="5"/>
      <c r="T60" s="6" t="str">
        <f ca="1">IFERROR(__xludf.DUMMYFUNCTION("REGEXREPLACE(REGEXREPLACE(O60, ""[^0-9]"", """"), ""^620"", ""62"")"),"6285342796217")</f>
        <v>6285342796217</v>
      </c>
    </row>
    <row r="61" spans="1:20" x14ac:dyDescent="0.2">
      <c r="A61" s="4" t="s">
        <v>403</v>
      </c>
      <c r="B61" s="4"/>
      <c r="C61" s="4" t="s">
        <v>20</v>
      </c>
      <c r="D61" s="4" t="s">
        <v>21</v>
      </c>
      <c r="E61" s="4" t="s">
        <v>404</v>
      </c>
      <c r="F61" s="4" t="s">
        <v>23</v>
      </c>
      <c r="G61" s="4" t="s">
        <v>24</v>
      </c>
      <c r="H61" s="4" t="s">
        <v>25</v>
      </c>
      <c r="I61" s="4" t="s">
        <v>47</v>
      </c>
      <c r="J61" s="4" t="s">
        <v>405</v>
      </c>
      <c r="K61" s="4" t="s">
        <v>28</v>
      </c>
      <c r="L61" s="4" t="s">
        <v>39</v>
      </c>
      <c r="M61" s="4" t="s">
        <v>50</v>
      </c>
      <c r="N61" s="4"/>
      <c r="O61" s="4" t="s">
        <v>406</v>
      </c>
      <c r="P61" s="4" t="s">
        <v>407</v>
      </c>
      <c r="Q61" s="4" t="s">
        <v>408</v>
      </c>
      <c r="R61" s="5" t="s">
        <v>33</v>
      </c>
      <c r="S61" s="5"/>
      <c r="T61" s="6" t="str">
        <f ca="1">IFERROR(__xludf.DUMMYFUNCTION("REGEXREPLACE(REGEXREPLACE(O61, ""[^0-9]"", """"), ""^620"", ""62"")"),"6281355252362")</f>
        <v>6281355252362</v>
      </c>
    </row>
    <row r="62" spans="1:20" x14ac:dyDescent="0.2">
      <c r="A62" s="4" t="s">
        <v>409</v>
      </c>
      <c r="B62" s="4"/>
      <c r="C62" s="4" t="s">
        <v>20</v>
      </c>
      <c r="D62" s="4" t="s">
        <v>21</v>
      </c>
      <c r="E62" s="4" t="s">
        <v>410</v>
      </c>
      <c r="F62" s="4" t="s">
        <v>23</v>
      </c>
      <c r="G62" s="4" t="s">
        <v>24</v>
      </c>
      <c r="H62" s="4" t="s">
        <v>25</v>
      </c>
      <c r="I62" s="4" t="s">
        <v>144</v>
      </c>
      <c r="J62" s="4" t="s">
        <v>411</v>
      </c>
      <c r="K62" s="4" t="s">
        <v>58</v>
      </c>
      <c r="L62" s="4" t="s">
        <v>49</v>
      </c>
      <c r="M62" s="4" t="s">
        <v>50</v>
      </c>
      <c r="N62" s="4"/>
      <c r="O62" s="4" t="s">
        <v>412</v>
      </c>
      <c r="P62" s="4" t="s">
        <v>413</v>
      </c>
      <c r="Q62" s="4" t="s">
        <v>414</v>
      </c>
      <c r="R62" s="5" t="s">
        <v>33</v>
      </c>
      <c r="S62" s="5"/>
      <c r="T62" s="6" t="str">
        <f ca="1">IFERROR(__xludf.DUMMYFUNCTION("REGEXREPLACE(REGEXREPLACE(O62, ""[^0-9]"", """"), ""^620"", ""62"")"),"6281355099248")</f>
        <v>6281355099248</v>
      </c>
    </row>
    <row r="63" spans="1:20" x14ac:dyDescent="0.2">
      <c r="A63" s="4" t="s">
        <v>415</v>
      </c>
      <c r="B63" s="4"/>
      <c r="C63" s="4" t="s">
        <v>20</v>
      </c>
      <c r="D63" s="4" t="s">
        <v>21</v>
      </c>
      <c r="E63" s="4" t="s">
        <v>416</v>
      </c>
      <c r="F63" s="4" t="s">
        <v>23</v>
      </c>
      <c r="G63" s="4" t="s">
        <v>24</v>
      </c>
      <c r="H63" s="4" t="s">
        <v>25</v>
      </c>
      <c r="I63" s="4" t="s">
        <v>207</v>
      </c>
      <c r="J63" s="4" t="s">
        <v>417</v>
      </c>
      <c r="K63" s="4" t="s">
        <v>28</v>
      </c>
      <c r="L63" s="4" t="s">
        <v>39</v>
      </c>
      <c r="M63" s="4" t="s">
        <v>59</v>
      </c>
      <c r="N63" s="4" t="s">
        <v>418</v>
      </c>
      <c r="O63" s="4" t="s">
        <v>419</v>
      </c>
      <c r="P63" s="4" t="s">
        <v>420</v>
      </c>
      <c r="Q63" s="4" t="s">
        <v>421</v>
      </c>
      <c r="R63" s="5" t="s">
        <v>33</v>
      </c>
      <c r="S63" s="5"/>
      <c r="T63" s="6" t="str">
        <f ca="1">IFERROR(__xludf.DUMMYFUNCTION("REGEXREPLACE(REGEXREPLACE(O63, ""[^0-9]"", """"), ""^620"", ""62"")"),"6281343581831")</f>
        <v>6281343581831</v>
      </c>
    </row>
    <row r="64" spans="1:20" x14ac:dyDescent="0.2">
      <c r="A64" s="4" t="s">
        <v>422</v>
      </c>
      <c r="B64" s="4"/>
      <c r="C64" s="4" t="s">
        <v>20</v>
      </c>
      <c r="D64" s="4" t="s">
        <v>21</v>
      </c>
      <c r="E64" s="4" t="s">
        <v>423</v>
      </c>
      <c r="F64" s="4" t="s">
        <v>23</v>
      </c>
      <c r="G64" s="4" t="s">
        <v>24</v>
      </c>
      <c r="H64" s="4" t="s">
        <v>25</v>
      </c>
      <c r="I64" s="4" t="s">
        <v>424</v>
      </c>
      <c r="J64" s="4" t="s">
        <v>425</v>
      </c>
      <c r="K64" s="4" t="s">
        <v>28</v>
      </c>
      <c r="L64" s="4" t="s">
        <v>39</v>
      </c>
      <c r="M64" s="4" t="s">
        <v>66</v>
      </c>
      <c r="N64" s="4"/>
      <c r="O64" s="4" t="s">
        <v>426</v>
      </c>
      <c r="P64" s="4" t="s">
        <v>427</v>
      </c>
      <c r="Q64" s="4" t="s">
        <v>428</v>
      </c>
      <c r="R64" s="5" t="s">
        <v>43</v>
      </c>
      <c r="S64" s="5" t="s">
        <v>429</v>
      </c>
      <c r="T64" s="6" t="str">
        <f ca="1">IFERROR(__xludf.DUMMYFUNCTION("REGEXREPLACE(REGEXREPLACE(O64, ""[^0-9]"", """"), ""^620"", ""62"")"),"6285215214530")</f>
        <v>6285215214530</v>
      </c>
    </row>
    <row r="65" spans="1:20" x14ac:dyDescent="0.2">
      <c r="A65" s="4" t="s">
        <v>430</v>
      </c>
      <c r="B65" s="4"/>
      <c r="C65" s="4" t="s">
        <v>20</v>
      </c>
      <c r="D65" s="4" t="s">
        <v>21</v>
      </c>
      <c r="E65" s="4" t="s">
        <v>431</v>
      </c>
      <c r="F65" s="4" t="s">
        <v>23</v>
      </c>
      <c r="G65" s="4" t="s">
        <v>24</v>
      </c>
      <c r="H65" s="4" t="s">
        <v>25</v>
      </c>
      <c r="I65" s="4" t="s">
        <v>47</v>
      </c>
      <c r="J65" s="4" t="s">
        <v>432</v>
      </c>
      <c r="K65" s="4" t="s">
        <v>28</v>
      </c>
      <c r="L65" s="4" t="s">
        <v>39</v>
      </c>
      <c r="M65" s="4" t="s">
        <v>50</v>
      </c>
      <c r="N65" s="4"/>
      <c r="O65" s="4" t="s">
        <v>433</v>
      </c>
      <c r="P65" s="4" t="s">
        <v>434</v>
      </c>
      <c r="Q65" s="4" t="s">
        <v>435</v>
      </c>
      <c r="R65" s="5" t="s">
        <v>33</v>
      </c>
      <c r="S65" s="5"/>
      <c r="T65" s="6" t="str">
        <f ca="1">IFERROR(__xludf.DUMMYFUNCTION("REGEXREPLACE(REGEXREPLACE(O65, ""[^0-9]"", """"), ""^620"", ""62"")"),"6285298741806")</f>
        <v>6285298741806</v>
      </c>
    </row>
    <row r="66" spans="1:20" x14ac:dyDescent="0.2">
      <c r="A66" s="4" t="s">
        <v>436</v>
      </c>
      <c r="B66" s="4"/>
      <c r="C66" s="4" t="s">
        <v>20</v>
      </c>
      <c r="D66" s="4" t="s">
        <v>21</v>
      </c>
      <c r="E66" s="4" t="s">
        <v>437</v>
      </c>
      <c r="F66" s="4" t="s">
        <v>23</v>
      </c>
      <c r="G66" s="4" t="s">
        <v>24</v>
      </c>
      <c r="H66" s="4" t="s">
        <v>25</v>
      </c>
      <c r="I66" s="4" t="s">
        <v>47</v>
      </c>
      <c r="J66" s="4" t="s">
        <v>438</v>
      </c>
      <c r="K66" s="4" t="s">
        <v>58</v>
      </c>
      <c r="L66" s="4" t="s">
        <v>39</v>
      </c>
      <c r="M66" s="4" t="s">
        <v>78</v>
      </c>
      <c r="N66" s="4"/>
      <c r="O66" s="4" t="s">
        <v>439</v>
      </c>
      <c r="P66" s="4" t="s">
        <v>440</v>
      </c>
      <c r="Q66" s="4" t="s">
        <v>441</v>
      </c>
      <c r="R66" s="5" t="s">
        <v>33</v>
      </c>
      <c r="S66" s="5"/>
      <c r="T66" s="6" t="str">
        <f ca="1">IFERROR(__xludf.DUMMYFUNCTION("REGEXREPLACE(REGEXREPLACE(O66, ""[^0-9]"", """"), ""^620"", ""62"")"),"6282193011269")</f>
        <v>6282193011269</v>
      </c>
    </row>
    <row r="67" spans="1:20" x14ac:dyDescent="0.2">
      <c r="A67" s="4" t="s">
        <v>442</v>
      </c>
      <c r="B67" s="4"/>
      <c r="C67" s="4" t="s">
        <v>20</v>
      </c>
      <c r="D67" s="4" t="s">
        <v>21</v>
      </c>
      <c r="E67" s="4" t="s">
        <v>443</v>
      </c>
      <c r="F67" s="4" t="s">
        <v>23</v>
      </c>
      <c r="G67" s="4" t="s">
        <v>24</v>
      </c>
      <c r="H67" s="4" t="s">
        <v>25</v>
      </c>
      <c r="I67" s="4" t="s">
        <v>184</v>
      </c>
      <c r="J67" s="4" t="s">
        <v>444</v>
      </c>
      <c r="K67" s="4" t="s">
        <v>58</v>
      </c>
      <c r="L67" s="4" t="s">
        <v>39</v>
      </c>
      <c r="M67" s="4" t="s">
        <v>349</v>
      </c>
      <c r="N67" s="4"/>
      <c r="O67" s="4" t="s">
        <v>445</v>
      </c>
      <c r="P67" s="4" t="s">
        <v>446</v>
      </c>
      <c r="Q67" s="4" t="s">
        <v>447</v>
      </c>
      <c r="R67" s="5" t="s">
        <v>43</v>
      </c>
      <c r="S67" s="5" t="s">
        <v>448</v>
      </c>
      <c r="T67" s="6" t="str">
        <f ca="1">IFERROR(__xludf.DUMMYFUNCTION("REGEXREPLACE(REGEXREPLACE(O67, ""[^0-9]"", """"), ""^620"", ""62"")"),"6282191113129")</f>
        <v>6282191113129</v>
      </c>
    </row>
    <row r="68" spans="1:20" x14ac:dyDescent="0.2">
      <c r="A68" s="4" t="s">
        <v>449</v>
      </c>
      <c r="B68" s="4"/>
      <c r="C68" s="4" t="s">
        <v>20</v>
      </c>
      <c r="D68" s="4" t="s">
        <v>21</v>
      </c>
      <c r="E68" s="4" t="s">
        <v>450</v>
      </c>
      <c r="F68" s="4" t="s">
        <v>23</v>
      </c>
      <c r="G68" s="4" t="s">
        <v>24</v>
      </c>
      <c r="H68" s="4" t="s">
        <v>25</v>
      </c>
      <c r="I68" s="4" t="s">
        <v>56</v>
      </c>
      <c r="J68" s="4" t="s">
        <v>451</v>
      </c>
      <c r="K68" s="4" t="s">
        <v>28</v>
      </c>
      <c r="L68" s="4" t="s">
        <v>49</v>
      </c>
      <c r="M68" s="4" t="s">
        <v>66</v>
      </c>
      <c r="N68" s="4"/>
      <c r="O68" s="4" t="s">
        <v>452</v>
      </c>
      <c r="P68" s="4"/>
      <c r="Q68" s="4" t="s">
        <v>453</v>
      </c>
      <c r="R68" s="5" t="s">
        <v>43</v>
      </c>
      <c r="S68" s="5" t="s">
        <v>454</v>
      </c>
      <c r="T68" s="6" t="str">
        <f ca="1">IFERROR(__xludf.DUMMYFUNCTION("REGEXREPLACE(REGEXREPLACE(O68, ""[^0-9]"", """"), ""^620"", ""62"")"),"6281241274418")</f>
        <v>6281241274418</v>
      </c>
    </row>
    <row r="69" spans="1:20" x14ac:dyDescent="0.2">
      <c r="A69" s="4" t="s">
        <v>455</v>
      </c>
      <c r="B69" s="4"/>
      <c r="C69" s="4" t="s">
        <v>20</v>
      </c>
      <c r="D69" s="4" t="s">
        <v>21</v>
      </c>
      <c r="E69" s="4" t="s">
        <v>456</v>
      </c>
      <c r="F69" s="4" t="s">
        <v>23</v>
      </c>
      <c r="G69" s="4" t="s">
        <v>24</v>
      </c>
      <c r="H69" s="4" t="s">
        <v>25</v>
      </c>
      <c r="I69" s="4" t="s">
        <v>457</v>
      </c>
      <c r="J69" s="4" t="s">
        <v>458</v>
      </c>
      <c r="K69" s="4" t="s">
        <v>28</v>
      </c>
      <c r="L69" s="4" t="s">
        <v>39</v>
      </c>
      <c r="M69" s="4" t="s">
        <v>78</v>
      </c>
      <c r="N69" s="4"/>
      <c r="O69" s="4" t="s">
        <v>459</v>
      </c>
      <c r="P69" s="4" t="s">
        <v>460</v>
      </c>
      <c r="Q69" s="4" t="s">
        <v>461</v>
      </c>
      <c r="R69" s="5" t="s">
        <v>33</v>
      </c>
      <c r="S69" s="5"/>
      <c r="T69" s="6" t="str">
        <f ca="1">IFERROR(__xludf.DUMMYFUNCTION("REGEXREPLACE(REGEXREPLACE(O69, ""[^0-9]"", """"), ""^620"", ""62"")"),"6285298583847")</f>
        <v>6285298583847</v>
      </c>
    </row>
  </sheetData>
  <dataValidations count="1">
    <dataValidation type="list" allowBlank="1" showErrorMessage="1" sqref="R2:R69" xr:uid="{B864A07B-C7C9-7E4B-801C-E4E62E9B5947}">
      <formula1>"Lolos,Tidak,Perlu dicek"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2025-11-15T13:24:46Z</dcterms:created>
  <dcterms:modified xsi:type="dcterms:W3CDTF">2025-11-15T13:27:25Z</dcterms:modified>
</cp:coreProperties>
</file>