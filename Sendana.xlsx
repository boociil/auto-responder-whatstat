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ryanardiansyah/side-project/wablas-autorespond/"/>
    </mc:Choice>
  </mc:AlternateContent>
  <xr:revisionPtr revIDLastSave="0" documentId="13_ncr:1_{45C13514-A43D-684C-931E-63B0086EC48F}" xr6:coauthVersionLast="47" xr6:coauthVersionMax="47" xr10:uidLastSave="{00000000-0000-0000-0000-000000000000}"/>
  <bookViews>
    <workbookView xWindow="5580" yWindow="3920" windowWidth="27640" windowHeight="16940" xr2:uid="{15D0B277-68ED-6347-8632-A7DF8B6C1F90}"/>
  </bookViews>
  <sheets>
    <sheet name="Lembar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1" i="1" l="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D65D2B0B-0BB6-004E-8476-9975BFC3FCEB}">
      <text>
        <r>
          <rPr>
            <sz val="10"/>
            <color rgb="FF000000"/>
            <rFont val="Aptos Narrow"/>
            <family val="2"/>
            <scheme val="minor"/>
          </rPr>
          <t>harus dicek lagi
	-subbagianumum 7601</t>
        </r>
      </text>
    </comment>
    <comment ref="A6" authorId="0" shapeId="0" xr:uid="{0E4CB3F3-A995-DE4D-A4A6-5046791408F3}">
      <text>
        <r>
          <rPr>
            <sz val="10"/>
            <color rgb="FF000000"/>
            <rFont val="Aptos Narrow"/>
            <family val="2"/>
            <scheme val="minor"/>
          </rPr>
          <t>harus dicek lagi
	-subbagianumum 7601</t>
        </r>
      </text>
    </comment>
  </commentList>
</comments>
</file>

<file path=xl/sharedStrings.xml><?xml version="1.0" encoding="utf-8"?>
<sst xmlns="http://schemas.openxmlformats.org/spreadsheetml/2006/main" count="942" uniqueCount="438">
  <si>
    <t>Nama Lengkap</t>
  </si>
  <si>
    <t>Posisi</t>
  </si>
  <si>
    <t>Status Seleksi (1=Terpilih, 2=Tidak Terpilih)</t>
  </si>
  <si>
    <t>Posisi Daftar</t>
  </si>
  <si>
    <t>Alamat Detail</t>
  </si>
  <si>
    <t>Alamat Prov</t>
  </si>
  <si>
    <t>Alamat Kab</t>
  </si>
  <si>
    <t>Alamat Kec</t>
  </si>
  <si>
    <t>Alamat Desa</t>
  </si>
  <si>
    <t>Tempat, Tanggal Lahir (Umur)*</t>
  </si>
  <si>
    <t>Jenis Kelamin</t>
  </si>
  <si>
    <t>Pendidikan</t>
  </si>
  <si>
    <t>Pekerjaan</t>
  </si>
  <si>
    <t>Deskripsi Pekerjaan Lain</t>
  </si>
  <si>
    <t>No Telp</t>
  </si>
  <si>
    <t>SOBAT ID</t>
  </si>
  <si>
    <t>Email</t>
  </si>
  <si>
    <t>Administrasi</t>
  </si>
  <si>
    <t>Catatan</t>
  </si>
  <si>
    <t>Pengalaman</t>
  </si>
  <si>
    <t>Rekening</t>
  </si>
  <si>
    <t>Kepemilikan HP Android</t>
  </si>
  <si>
    <t>Tipe HP</t>
  </si>
  <si>
    <t>Merk HP</t>
  </si>
  <si>
    <t>RAM HP (GB)</t>
  </si>
  <si>
    <t>Kepemilikan kendaraan bermotor</t>
  </si>
  <si>
    <t>Bisa mengendarai motor</t>
  </si>
  <si>
    <t>Kepemilikan laptop</t>
  </si>
  <si>
    <t>Bisa mengoperasikan komputer</t>
  </si>
  <si>
    <t>Histori Survei</t>
  </si>
  <si>
    <t>Selfi Aulia Hanasir</t>
  </si>
  <si>
    <t>Belum Konfirmasi</t>
  </si>
  <si>
    <t>Mitra (Pendataan dan Pengolahan)</t>
  </si>
  <si>
    <t>Jalan poros Majene Mamuju sendana Binanga RT 002</t>
  </si>
  <si>
    <t>76</t>
  </si>
  <si>
    <t>01</t>
  </si>
  <si>
    <t>030</t>
  </si>
  <si>
    <t>021</t>
  </si>
  <si>
    <t>, 13 Mei 2000 (25)</t>
  </si>
  <si>
    <t>Pr</t>
  </si>
  <si>
    <t>Tamat D4/S1</t>
  </si>
  <si>
    <t>Kader PKK / Karang Taruna / Kader Lainnya</t>
  </si>
  <si>
    <t>+62 852-9854-5951</t>
  </si>
  <si>
    <t>selfauliahanasir2@gmail.com</t>
  </si>
  <si>
    <t>Perlu dicek</t>
  </si>
  <si>
    <t>- Ijazah D4/S1 belum ada
- Tempat lahir tidak terisi</t>
  </si>
  <si>
    <t>x</t>
  </si>
  <si>
    <t>tidak terisi</t>
  </si>
  <si>
    <t>Ditolak ST2023</t>
  </si>
  <si>
    <t>-</t>
  </si>
  <si>
    <t>Aswar Samsir</t>
  </si>
  <si>
    <t>Mitra Pendataan</t>
  </si>
  <si>
    <t>Jalan Caegeng RT 001 RW 002</t>
  </si>
  <si>
    <t>002</t>
  </si>
  <si>
    <t>, 07 Desember 2003 (22)</t>
  </si>
  <si>
    <t>Lk</t>
  </si>
  <si>
    <t>Tamat SMS/Sederajat</t>
  </si>
  <si>
    <t>Wiraswasta</t>
  </si>
  <si>
    <t>+62 831-5329-5492</t>
  </si>
  <si>
    <t>aswar62lembang@gmail.com</t>
  </si>
  <si>
    <t>Tidak</t>
  </si>
  <si>
    <t>- Tidak ada foto
- Dokumen administrasi tidak ada</t>
  </si>
  <si>
    <t>harus dicek lagi</t>
  </si>
  <si>
    <t>Ninsar</t>
  </si>
  <si>
    <t>Pullo, be, desa Limboro Rambu-rambu</t>
  </si>
  <si>
    <t>019</t>
  </si>
  <si>
    <t>, 15 Mei 1997 (28)</t>
  </si>
  <si>
    <t>Lainnya</t>
  </si>
  <si>
    <t>Petani</t>
  </si>
  <si>
    <t>+62 081-2411-79615</t>
  </si>
  <si>
    <t>760122090132</t>
  </si>
  <si>
    <t>ninsarnjr19@gmail.com</t>
  </si>
  <si>
    <t>- Ijazah D4/S1 belum ada
- Tempat lahir belum terisi</t>
  </si>
  <si>
    <t>ST2023</t>
  </si>
  <si>
    <t>BRI</t>
  </si>
  <si>
    <t>Androit 12</t>
  </si>
  <si>
    <t>Oppo Reno5</t>
  </si>
  <si>
    <t>Regsosek, PL-KUMKM, ST2023</t>
  </si>
  <si>
    <t>Ihwan anugrah</t>
  </si>
  <si>
    <t>Belakang polsek sendana somba</t>
  </si>
  <si>
    <t>, 02 Februari 2003 (22)</t>
  </si>
  <si>
    <t>Belum bekerja</t>
  </si>
  <si>
    <t>+62 852-4035-6366</t>
  </si>
  <si>
    <t>760123110043</t>
  </si>
  <si>
    <t>anugrahihwan01@gmail.com</t>
  </si>
  <si>
    <t>Lolos</t>
  </si>
  <si>
    <t>- Foto bg putih</t>
  </si>
  <si>
    <t>Susenas</t>
  </si>
  <si>
    <t>BNI</t>
  </si>
  <si>
    <t>A32</t>
  </si>
  <si>
    <t>Samsung</t>
  </si>
  <si>
    <t>HUMEYRA ZAMSANI RUDY</t>
  </si>
  <si>
    <t xml:space="preserve">Dusun lakkading </t>
  </si>
  <si>
    <t>013</t>
  </si>
  <si>
    <t>, 18 Januari 2002 (23)</t>
  </si>
  <si>
    <t>Tamat D1/D2/D3</t>
  </si>
  <si>
    <t>Tidak bekerja</t>
  </si>
  <si>
    <t>+62 081-2422-90880</t>
  </si>
  <si>
    <t>zamsanhumeyra@gmail.com</t>
  </si>
  <si>
    <t>- Tidak ada foto, KTP, maupun ijazah</t>
  </si>
  <si>
    <t xml:space="preserve">Nur Alikha </t>
  </si>
  <si>
    <t xml:space="preserve">Jalan Poros Majene-Mamuju depan SMPN 1 Sendana </t>
  </si>
  <si>
    <t>BALIKPAPAN, 22 Juli 2001 (24)</t>
  </si>
  <si>
    <t xml:space="preserve">Tidak bekerja </t>
  </si>
  <si>
    <t>+62 823-9307-3620</t>
  </si>
  <si>
    <t>alikhanur07@gmail.com</t>
  </si>
  <si>
    <t>- Kelahiran Balikpapan, KTP Majene
- Tidak ada foto</t>
  </si>
  <si>
    <t>A95</t>
  </si>
  <si>
    <t>OPPO</t>
  </si>
  <si>
    <t>Cindara dewi</t>
  </si>
  <si>
    <t>Palipi Utara</t>
  </si>
  <si>
    <t>004</t>
  </si>
  <si>
    <t>MAJENE, 25 November 1999 (25)</t>
  </si>
  <si>
    <t>Pelajar / Mahasiswa</t>
  </si>
  <si>
    <t>+62 821-9729-9074</t>
  </si>
  <si>
    <t>cindaradewi99@gmail.com</t>
  </si>
  <si>
    <t>- Tidak ada foto
- Pekerjaan masih tertulis mhs padahal sudah lulus S1</t>
  </si>
  <si>
    <t>BSI</t>
  </si>
  <si>
    <t>A15</t>
  </si>
  <si>
    <t>SAMSUNG GALAXY</t>
  </si>
  <si>
    <t>Nama saya Cindata dewi anak Pertama dari 3 bersaudara, pendidikan terakhir saya S1 perikanan dan saya lulus pada tahun 2023 di UNIVERSITAS SULAWESI BARAT. Semoga dengan mendaftar ini saya bisa bergabung dan bisa menambah ilmu lagi</t>
  </si>
  <si>
    <t>Hamzah</t>
  </si>
  <si>
    <t xml:space="preserve">Dusun puttada Selatan Desa Puttada kecamatan Sendana </t>
  </si>
  <si>
    <t>003</t>
  </si>
  <si>
    <t>MAJENE, 15 Oktober 1987 (38)</t>
  </si>
  <si>
    <t>Aparat Desa / Kelurahan</t>
  </si>
  <si>
    <t>+62 821-9017-1416</t>
  </si>
  <si>
    <t>hamzahham208@gmail.com</t>
  </si>
  <si>
    <t>- Tidak ada foto
- Aparat desa di kantor Desa Puttada
- NIK ga sesuai KTP?</t>
  </si>
  <si>
    <t>A12</t>
  </si>
  <si>
    <t>Samsung Galaxy</t>
  </si>
  <si>
    <t>Besar harapan bisa menjadi bagian dari Mitra BPS majene</t>
  </si>
  <si>
    <t>SUKRI</t>
  </si>
  <si>
    <t>Jalan Poros Majene Mamuju</t>
  </si>
  <si>
    <t>005</t>
  </si>
  <si>
    <t>MAJENE, 22 Mei 1986 (39)</t>
  </si>
  <si>
    <t>+62 081-3425-92815</t>
  </si>
  <si>
    <t>760122090112</t>
  </si>
  <si>
    <t>s7gcsukri@gmail.com</t>
  </si>
  <si>
    <t>- Pekerjaan aparat desa, kalau di KTP petani</t>
  </si>
  <si>
    <t>Susenas Maret 2023, Updating EA 2024, Regsosek</t>
  </si>
  <si>
    <t>Pada pelaksanaan regsosek sebagai PML</t>
  </si>
  <si>
    <t>ALMA ARIF</t>
  </si>
  <si>
    <t>Somba selatan</t>
  </si>
  <si>
    <t>MAJENE, 04 Oktober 1996 (29)</t>
  </si>
  <si>
    <t>+62 852-5646-3452</t>
  </si>
  <si>
    <t>760122090119</t>
  </si>
  <si>
    <t>Almaarifharbi53@gmail.com</t>
  </si>
  <si>
    <t>- Administrasi lengkap
- Pekerjaan wiraswasta perlu dicek, apakah honorer atau bukan meski di sobat tidak memiliki hub dengan K/L lain</t>
  </si>
  <si>
    <t>ST, Susenas, Sakernas, CAPI</t>
  </si>
  <si>
    <t>Redmi note 12</t>
  </si>
  <si>
    <t>Xiaomi redmi note 12</t>
  </si>
  <si>
    <t>PL-KUMKM, Regsosek</t>
  </si>
  <si>
    <t>Bertanggung jawab,dan pantang menyerah sebelum sukses</t>
  </si>
  <si>
    <t>Yuyun Hayadil</t>
  </si>
  <si>
    <t>Mitra Pengolahan</t>
  </si>
  <si>
    <t>Jln. Lure Desa Banua Sendana Kec. Sendana Kab. Majene Prov. Sulawesi Barat</t>
  </si>
  <si>
    <t>017</t>
  </si>
  <si>
    <t>MAJENE, 24 Juli 2000 (25)</t>
  </si>
  <si>
    <t>Tidak ada</t>
  </si>
  <si>
    <t>+62 812-2847-8006</t>
  </si>
  <si>
    <t>760123110047</t>
  </si>
  <si>
    <t>yuyunhayadil@gmail.com</t>
  </si>
  <si>
    <t>- Administrasi lengkap
- Tidak ada deskripsi pekerjaan lainnya</t>
  </si>
  <si>
    <t>Android 8.1 (Full-incell)</t>
  </si>
  <si>
    <t>Vivo Y95</t>
  </si>
  <si>
    <t>Updating EA</t>
  </si>
  <si>
    <t>Resa</t>
  </si>
  <si>
    <t>Lingkungan Somba Utara</t>
  </si>
  <si>
    <t>MAJENE, 05 Juni 2002 (23)</t>
  </si>
  <si>
    <t>+62 823-9624-0085</t>
  </si>
  <si>
    <t>Rezaaldama07@gmail.com</t>
  </si>
  <si>
    <t>- Administrasi lengkap
- Tidak ada foto</t>
  </si>
  <si>
    <t>Android</t>
  </si>
  <si>
    <t>Redmi note 14 pro 5G</t>
  </si>
  <si>
    <t>Aswinda</t>
  </si>
  <si>
    <t>Jln.poros Majene Mamuju</t>
  </si>
  <si>
    <t>012</t>
  </si>
  <si>
    <t>MAJENE, 01 Juli 2000 (25)</t>
  </si>
  <si>
    <t>+62 822-9337-1648</t>
  </si>
  <si>
    <t>760123110140</t>
  </si>
  <si>
    <t>aswinda687@gmail.com</t>
  </si>
  <si>
    <t>Android 13</t>
  </si>
  <si>
    <t>Samsung A05s</t>
  </si>
  <si>
    <t>Saya Adalah Lulusan dari UIN Alauddin Makassar jurusan kesehatan masyarakat. saya mempunyai keinginan yang kuat untuk menambah pengetahuan,wawasan &amp; pengalaman saya dalam dunia enumerator &amp; bidang lain , dlm hal ini menjadi mitra BPS yang berkompeten.</t>
  </si>
  <si>
    <t>Dewi yul</t>
  </si>
  <si>
    <t xml:space="preserve">Somba Utara </t>
  </si>
  <si>
    <t>MAJENE, 14 Desember 1998 (27)</t>
  </si>
  <si>
    <t>Mengurus Rumah Tangga</t>
  </si>
  <si>
    <t>+62 821-9336-5980</t>
  </si>
  <si>
    <t>dewiyul061@gmail.com</t>
  </si>
  <si>
    <t>Sensus Ekonomi?</t>
  </si>
  <si>
    <t>A658</t>
  </si>
  <si>
    <t>Oppo</t>
  </si>
  <si>
    <t>PL-KUMKM</t>
  </si>
  <si>
    <t>Siap Menjalan Tugas Yang Diamanahkan</t>
  </si>
  <si>
    <t xml:space="preserve">Wardiah </t>
  </si>
  <si>
    <t>Totolisi tengah.RT 003/RW 002.kelurahan totolisi sendana.kecemaatan sendana</t>
  </si>
  <si>
    <t>016</t>
  </si>
  <si>
    <t>MAJENE, 12 Oktober 2001 (24)</t>
  </si>
  <si>
    <t>belum bekerja</t>
  </si>
  <si>
    <t>+62 812-1626-1460</t>
  </si>
  <si>
    <t>wardiahwarwar@gmail.com</t>
  </si>
  <si>
    <t>Realme C15</t>
  </si>
  <si>
    <t>Realme</t>
  </si>
  <si>
    <t xml:space="preserve">Wahyu sastranegara </t>
  </si>
  <si>
    <t>Binanga</t>
  </si>
  <si>
    <t>MAJENE, 11 November 2003 (22)</t>
  </si>
  <si>
    <t>+62 851-7511-2623</t>
  </si>
  <si>
    <t>760122110011</t>
  </si>
  <si>
    <t>Sastranegarawahyu09@gmail.com</t>
  </si>
  <si>
    <t>- NIK masih typo
- Foto KTP kurang jelas
- Ada hub kerja dengan K/L lain</t>
  </si>
  <si>
    <t>Vivo</t>
  </si>
  <si>
    <t>Regosek, Susenas 2025</t>
  </si>
  <si>
    <t>IDAIRA</t>
  </si>
  <si>
    <t>Puttada Selatan RT/RW 002/001</t>
  </si>
  <si>
    <t>MAJENE, 14 Oktober 1994 (31)</t>
  </si>
  <si>
    <t>+62 082-9202-3039</t>
  </si>
  <si>
    <t>760122090123</t>
  </si>
  <si>
    <t>idaira1014@gmail.com</t>
  </si>
  <si>
    <t>- Honorer di kantor camat Sendana</t>
  </si>
  <si>
    <t>SP, ST, SE?</t>
  </si>
  <si>
    <t>Y19</t>
  </si>
  <si>
    <t>Regsosek, PL-KUMKM, ST, Seruti tw 3 dan 4</t>
  </si>
  <si>
    <t>Besar harapan saya untuk bisa bergabung kembali sebagai mitra BPS kabupaten Majene</t>
  </si>
  <si>
    <t xml:space="preserve">Afrianto Salman </t>
  </si>
  <si>
    <t xml:space="preserve">Lingkungan Somba Utara </t>
  </si>
  <si>
    <t>MAJENE, 16 April 1998 (27)</t>
  </si>
  <si>
    <t>+62 082-1969-48244</t>
  </si>
  <si>
    <t>760122090118</t>
  </si>
  <si>
    <t>afriantosalman44@gmail.com</t>
  </si>
  <si>
    <t>CAPI?</t>
  </si>
  <si>
    <t>Regsosek, VIMK tw 4</t>
  </si>
  <si>
    <t>Ibnu zaki</t>
  </si>
  <si>
    <t>Jalan poros Majene mamuju</t>
  </si>
  <si>
    <t>MAJENE, 23 November 2004 (20)</t>
  </si>
  <si>
    <t>+62 821-9233-3862</t>
  </si>
  <si>
    <t>ibnuzaki2004@gmail.com</t>
  </si>
  <si>
    <t>- Tidak ada foto</t>
  </si>
  <si>
    <t>Realme c20</t>
  </si>
  <si>
    <t>Rifky Ananda Salim</t>
  </si>
  <si>
    <t>Lingk. Mosso Malayu</t>
  </si>
  <si>
    <t>001</t>
  </si>
  <si>
    <t>MAJENE, 25 Maret 2003 (22)</t>
  </si>
  <si>
    <t>+62 821-8444-3089</t>
  </si>
  <si>
    <t>rifkysalim25@gmail.com</t>
  </si>
  <si>
    <t>Infinix note 40</t>
  </si>
  <si>
    <t>Abd rahman mahmud</t>
  </si>
  <si>
    <t>Dusun Camba-Camba Desa Tallum Banua</t>
  </si>
  <si>
    <t>MAJENE, 28 Agustus 1991 (34)</t>
  </si>
  <si>
    <t>+62 081-3401-85035</t>
  </si>
  <si>
    <t>rahmanmahmudd9@gmail.com</t>
  </si>
  <si>
    <t>- Tidak ada foto
- File KTP terpotong
- Ada hubungan dengan BPD</t>
  </si>
  <si>
    <t>Terceklis semua</t>
  </si>
  <si>
    <t>Readmi10</t>
  </si>
  <si>
    <t>Readmi</t>
  </si>
  <si>
    <t>ASMIRA</t>
  </si>
  <si>
    <t>Lingkungan Mosso</t>
  </si>
  <si>
    <t>MAJENE, 29 November 1994 (30)</t>
  </si>
  <si>
    <t xml:space="preserve">Honorer (Operator Sekolah) </t>
  </si>
  <si>
    <t>+62 823-4490-6042</t>
  </si>
  <si>
    <t>760123020006</t>
  </si>
  <si>
    <t>putriasmira29@gmail.com</t>
  </si>
  <si>
    <t>- Bekerja sebagai honorer sekolah
- Setau saya diterima p3k</t>
  </si>
  <si>
    <t>SP, Susenas, Sakernas, SBH, CAPI</t>
  </si>
  <si>
    <t>LPDDR4X @ 2133MHz, saluran 16-bit ganda, dengan Kapasitas Ram+rom 8GB+128GB</t>
  </si>
  <si>
    <t>Oppo A77S</t>
  </si>
  <si>
    <t>Ecommrce 2024, Ecommerce 2025, Sakernas 2025, Seruti 2023, Seruti 2025, Susenas 2024, Susenas 2025</t>
  </si>
  <si>
    <t>Semoga diterima</t>
  </si>
  <si>
    <t>TASLIM</t>
  </si>
  <si>
    <t>MAJENE, 05 Mei 1997 (28)</t>
  </si>
  <si>
    <t>+62 853-4866-0446</t>
  </si>
  <si>
    <t>760123020018</t>
  </si>
  <si>
    <t>ttaslim190@gmail.com</t>
  </si>
  <si>
    <t>- Sudah kawin tp karena belum update di KTP jadi status masih belum kawin</t>
  </si>
  <si>
    <t>SP, ST, SBH, CAPI</t>
  </si>
  <si>
    <t>C15</t>
  </si>
  <si>
    <t>KSA, Survei Profil Pasar, PL-KUMKM</t>
  </si>
  <si>
    <t>ALFIANA</t>
  </si>
  <si>
    <t>MOSSO</t>
  </si>
  <si>
    <t>MAJENE, 31 Mei 2004 (21)</t>
  </si>
  <si>
    <t>+62 877-2475-7615</t>
  </si>
  <si>
    <t>FyanaHamsi@gmail.com</t>
  </si>
  <si>
    <t>- Ijazah SMA tidak ada
- Foto KTP masih kurang jelas</t>
  </si>
  <si>
    <t>Galaxy a24</t>
  </si>
  <si>
    <t>SAMSUNG</t>
  </si>
  <si>
    <t xml:space="preserve">Nilawati </t>
  </si>
  <si>
    <t>Jl. Andi Makkah, Lingk. Somba Tenggara, Kel.Mosso</t>
  </si>
  <si>
    <t>MAJENE, 17 April 2001 (24)</t>
  </si>
  <si>
    <t>Tidak Bekerja</t>
  </si>
  <si>
    <t>+62 812-3530-6161</t>
  </si>
  <si>
    <t>760123060006</t>
  </si>
  <si>
    <t>nilawatirusdi66@gmail.com</t>
  </si>
  <si>
    <t>CPH2127</t>
  </si>
  <si>
    <t>Oppo A53</t>
  </si>
  <si>
    <t>Nur Andriani</t>
  </si>
  <si>
    <t>Dusun Pundau Tengah Desa Pundau</t>
  </si>
  <si>
    <t>011</t>
  </si>
  <si>
    <t>MAJENE, 16 Februari 2002 (23)</t>
  </si>
  <si>
    <t>+62 821-9468-3473</t>
  </si>
  <si>
    <t>alpar3198@gmail.com</t>
  </si>
  <si>
    <t>C53</t>
  </si>
  <si>
    <t>Nurlaila</t>
  </si>
  <si>
    <t>Apoleang selatan</t>
  </si>
  <si>
    <t>MAJENE, 05 Februari 1994 (31)</t>
  </si>
  <si>
    <t>+62 822-3990-1533</t>
  </si>
  <si>
    <t>760122090081</t>
  </si>
  <si>
    <t>nurlailalela363@gmail.com</t>
  </si>
  <si>
    <t>- File KTP tidak jelas</t>
  </si>
  <si>
    <t>CAPI</t>
  </si>
  <si>
    <t>7i</t>
  </si>
  <si>
    <t>PL-KUMKM, Regsosek, Sakernas 2025, Seruti tw 3 dan 4</t>
  </si>
  <si>
    <t>Hasmiati</t>
  </si>
  <si>
    <t>Dusun Pundau Desa Pundau</t>
  </si>
  <si>
    <t>MAJENE, 27 November 1999 (25)</t>
  </si>
  <si>
    <t>+62 852-5640-5855</t>
  </si>
  <si>
    <t>760122090122</t>
  </si>
  <si>
    <t>hasmiati.athy23@gmail.com</t>
  </si>
  <si>
    <t>- Foto selfie</t>
  </si>
  <si>
    <t>ST2023, Susenas</t>
  </si>
  <si>
    <t>Y22</t>
  </si>
  <si>
    <t>Regsosek, PL-KUMKM, ST2023, Seruti</t>
  </si>
  <si>
    <t>Syafira</t>
  </si>
  <si>
    <t>DUSUN PONIANG TENGAH</t>
  </si>
  <si>
    <t>MAJENE, 09 Juni 2000 (25)</t>
  </si>
  <si>
    <t>+62 823-9977-7329</t>
  </si>
  <si>
    <t>760122090131</t>
  </si>
  <si>
    <t>Syafirafira092@gmail.com</t>
  </si>
  <si>
    <t>- Bukan pas foto</t>
  </si>
  <si>
    <t>ST2023, SE?</t>
  </si>
  <si>
    <t>Vivo y35</t>
  </si>
  <si>
    <t>Regsosek, ST2023</t>
  </si>
  <si>
    <t>Pernah menjadi petugas pcl regsocek dan pcl Sensus pertanian</t>
  </si>
  <si>
    <t>ARMI BASMI</t>
  </si>
  <si>
    <t>Jalan Sultan Alauddin, Somba Tenggara</t>
  </si>
  <si>
    <t>MAJENE, 01 Agustus 1995 (30)</t>
  </si>
  <si>
    <t>Pegawai / Guru Honorer</t>
  </si>
  <si>
    <t>+62 081-3413-64010</t>
  </si>
  <si>
    <t>760122090134</t>
  </si>
  <si>
    <t>armibasmi01@gmail.com</t>
  </si>
  <si>
    <t>- Pegawai/guru honorer</t>
  </si>
  <si>
    <t>ST2023, CAPI?</t>
  </si>
  <si>
    <t>Bank Sulselbar</t>
  </si>
  <si>
    <t>V27e</t>
  </si>
  <si>
    <t>Regosek, PL-KUMKM, ST2023, Susenas 2024</t>
  </si>
  <si>
    <t xml:space="preserve">Nurfadilah </t>
  </si>
  <si>
    <t>Mosso</t>
  </si>
  <si>
    <t>MAJENE, 07 Juli 1997 (28)</t>
  </si>
  <si>
    <t>+62 853-9723-3743</t>
  </si>
  <si>
    <t>nurfadilahidris560@gmail.com</t>
  </si>
  <si>
    <t>- Tidak mengisi pekerjaan</t>
  </si>
  <si>
    <t>C25s</t>
  </si>
  <si>
    <t>Pernah mendaftar mitra sensus pertanian</t>
  </si>
  <si>
    <t>MUH IDIL FITRI</t>
  </si>
  <si>
    <t>Dusun Passau</t>
  </si>
  <si>
    <t>MAJENE, 23 Maret 1994 (31)</t>
  </si>
  <si>
    <t>+62 823-9334-2262</t>
  </si>
  <si>
    <t>760123030016</t>
  </si>
  <si>
    <t>idil5708@gmail.com</t>
  </si>
  <si>
    <t>ANDROID 12</t>
  </si>
  <si>
    <t>OPPO A17</t>
  </si>
  <si>
    <t>PL-KUMKM, ST2023 Updating EA</t>
  </si>
  <si>
    <t>Pengalaman kerja dalam pendataan adalah pernah menjadi enumerator pendataan desa Presisi tahun 2022 didesa Bukit Samang Kec. Sendana Kab. Majene sensus pertanian 2023. Semoga bisa menjadi bahan pertimbangan bagi panitia seleksi</t>
  </si>
  <si>
    <t>Firman</t>
  </si>
  <si>
    <t>Jln batu lapar rt 1,rw 2</t>
  </si>
  <si>
    <t>MAJENE, 25 Mei 1996 (29)</t>
  </si>
  <si>
    <t>+62 853-9586-2762</t>
  </si>
  <si>
    <t>760123030026</t>
  </si>
  <si>
    <t>Firm7750@gmail.com</t>
  </si>
  <si>
    <t>- Pekerjaan pegawai/guru honorer</t>
  </si>
  <si>
    <t>Xiaomi</t>
  </si>
  <si>
    <t>Irma Astuti</t>
  </si>
  <si>
    <t xml:space="preserve">Dusun Totolisi Selatan Desa Totolisi Sendana </t>
  </si>
  <si>
    <t>MAJENE, 11 Mei 1998 (27)</t>
  </si>
  <si>
    <t>+62 823-1950-0288</t>
  </si>
  <si>
    <t>760123070003</t>
  </si>
  <si>
    <t>novias4904@gmail.com</t>
  </si>
  <si>
    <t>- Foto tidak bg merah tp masih oke
- Administrasi oke</t>
  </si>
  <si>
    <t>Sakernas</t>
  </si>
  <si>
    <t>RENO 4</t>
  </si>
  <si>
    <t>MBG Baseline, PL-KUMKM, Sakernas 2023, Survei Statistik Keuangan Pemerintah Daerah 2025, Bapok 2025, SLK 2025</t>
  </si>
  <si>
    <t>RESKIKA HANASIR</t>
  </si>
  <si>
    <t>Jalan poros majene mamuju</t>
  </si>
  <si>
    <t>MAJENE, 24 Juni 2002 (23)</t>
  </si>
  <si>
    <t>+62 821-9694-7867</t>
  </si>
  <si>
    <t>760122050002</t>
  </si>
  <si>
    <t>kikar2472@gmail.com</t>
  </si>
  <si>
    <t>SP, ST, SE?, CAPI</t>
  </si>
  <si>
    <t>Infinix X669C</t>
  </si>
  <si>
    <t>Infinix</t>
  </si>
  <si>
    <t>MBG Baseline, LF SP2020, PL-KUMKM, Regsosek, ST2023, SUPAS 2025</t>
  </si>
  <si>
    <t>Pernah di tolak karna di kira penjual obat2</t>
  </si>
  <si>
    <t xml:space="preserve">Yusrawati </t>
  </si>
  <si>
    <t>Jl. Poros majene-mamuju, Desa bukit Samang, dusun Passau barat</t>
  </si>
  <si>
    <t>MAJENE, 09 November 2000 (25)</t>
  </si>
  <si>
    <t xml:space="preserve">Fresh graduate </t>
  </si>
  <si>
    <t>+62 822-9669-1160</t>
  </si>
  <si>
    <t>760123110005</t>
  </si>
  <si>
    <t>yusraayu903@gmail.com</t>
  </si>
  <si>
    <t>- Fresh graduate
- Administrasi lengkap</t>
  </si>
  <si>
    <t>asus zenfone max pro m1</t>
  </si>
  <si>
    <t>Asus</t>
  </si>
  <si>
    <t>Pengalaman : - Pernah magang di media jurnalistik klikhijau.com - Pernah menjabat sebagai Duta GenRe Putri Kab Majene Tahun 2018. - Pengurus forum lingkar pena (FLP) 2 periode - Peraih peringkat ke-3 terbaik dalam lomba cerita IKBIM let's inspiring</t>
  </si>
  <si>
    <t>NUR ANNISA BASMI</t>
  </si>
  <si>
    <t>Jl. Sultan Alauddin, RW 004 Somba Tenggara</t>
  </si>
  <si>
    <t>MAJENE, 24 Februari 2000 (25)</t>
  </si>
  <si>
    <t>+62 852-5631-9190</t>
  </si>
  <si>
    <t>760123110236</t>
  </si>
  <si>
    <t>nurannisabasmi@gmail.com</t>
  </si>
  <si>
    <t>- Foto tidak bg merah tp masih oke
- Administrasi lengkap</t>
  </si>
  <si>
    <t>Y71</t>
  </si>
  <si>
    <t>Asmaun</t>
  </si>
  <si>
    <t>MAJENE, 03 September 1997 (28)</t>
  </si>
  <si>
    <t>+62 852-4259-8124</t>
  </si>
  <si>
    <t>760122020001</t>
  </si>
  <si>
    <t>asmaunaas6@gmail.com</t>
  </si>
  <si>
    <t>- Administrasi oke</t>
  </si>
  <si>
    <t>SP, ST, SE?, Susenas, Sakernas, CAPI</t>
  </si>
  <si>
    <t>POCO M4 PRO</t>
  </si>
  <si>
    <t>LF SP2020, Regsosek, SKP, ST2023, Wilkerstat ST2023, Susenas 2023</t>
  </si>
  <si>
    <t>MASRIANI</t>
  </si>
  <si>
    <t>DUSUN BINANGA, RT 002</t>
  </si>
  <si>
    <t>POLEWALI MANDAR, 02 Oktober 1997 (28)</t>
  </si>
  <si>
    <t>+62 812-1300-2229</t>
  </si>
  <si>
    <t>760123030020</t>
  </si>
  <si>
    <t>masrianihendra@gmail.com</t>
  </si>
  <si>
    <t>- Nomor NIK beda
- Ada hub kerja dg K/L lain</t>
  </si>
  <si>
    <t>CPH2577</t>
  </si>
  <si>
    <t>OPPO A58</t>
  </si>
  <si>
    <t>PL-KUMKM, ST2023, Updating EA, VIMK, VREST 2024</t>
  </si>
  <si>
    <t>NIK yang di pake adalah NIK suami, di karenakan waktu bikin akun ada kendala dengan NIK saya.</t>
  </si>
  <si>
    <t>Masita</t>
  </si>
  <si>
    <t xml:space="preserve">Dusun Palipi, Desa Sendana, Kec. Sendana, Kab. Majene, Prov. Sulawesi Barat </t>
  </si>
  <si>
    <t>POLEWALI MANDAR, 17 Agustus 2000 (25)</t>
  </si>
  <si>
    <t>+62 852-5782-1842</t>
  </si>
  <si>
    <t>masitaixak1@gmail.com</t>
  </si>
  <si>
    <t>Y20</t>
  </si>
  <si>
    <t>telpon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</si>
</sst>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charset val="1"/>
      <scheme val="minor"/>
    </font>
    <font>
      <b/>
      <sz val="11"/>
      <color theme="1"/>
      <name val="Calibri"/>
      <family val="2"/>
    </font>
    <font>
      <b/>
      <sz val="10"/>
      <color theme="1"/>
      <name val="Aptos Narrow"/>
      <family val="2"/>
      <scheme val="minor"/>
    </font>
    <font>
      <sz val="10"/>
      <color theme="1"/>
      <name val="Aptos Narrow"/>
      <family val="2"/>
      <scheme val="minor"/>
    </font>
    <font>
      <b/>
      <sz val="10"/>
      <color theme="1"/>
      <name val="Arial"/>
      <family val="2"/>
    </font>
    <font>
      <sz val="11"/>
      <color theme="1"/>
      <name val="Calibri"/>
      <family val="2"/>
    </font>
    <font>
      <sz val="10"/>
      <color theme="1"/>
      <name val="Arial"/>
      <family val="2"/>
    </font>
    <font>
      <sz val="10"/>
      <color rgb="FF000000"/>
      <name val="Aptos Narrow"/>
      <family val="2"/>
      <scheme val="minor"/>
    </font>
  </fonts>
  <fills count="6">
    <fill>
      <patternFill patternType="none"/>
    </fill>
    <fill>
      <patternFill patternType="gray125"/>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4" fillId="0" borderId="0" xfId="0" applyFont="1"/>
    <xf numFmtId="0" fontId="5" fillId="0" borderId="0" xfId="0" applyFont="1"/>
    <xf numFmtId="0" fontId="3" fillId="2" borderId="0" xfId="0" applyFont="1" applyFill="1" applyAlignment="1">
      <alignment vertical="center"/>
    </xf>
    <xf numFmtId="0" fontId="3" fillId="2" borderId="0" xfId="0" applyFont="1" applyFill="1" applyAlignment="1">
      <alignment vertical="center" wrapText="1"/>
    </xf>
    <xf numFmtId="0" fontId="3" fillId="3" borderId="0" xfId="0" applyFont="1" applyFill="1" applyAlignment="1">
      <alignment vertical="center" wrapText="1"/>
    </xf>
    <xf numFmtId="0" fontId="3" fillId="3" borderId="0" xfId="0" applyFont="1" applyFill="1"/>
    <xf numFmtId="0" fontId="6" fillId="0" borderId="0" xfId="0" applyFont="1"/>
    <xf numFmtId="0" fontId="3" fillId="4" borderId="0" xfId="0" applyFont="1" applyFill="1" applyAlignment="1">
      <alignment vertical="center" wrapText="1"/>
    </xf>
    <xf numFmtId="0" fontId="3" fillId="4" borderId="0" xfId="0" applyFont="1" applyFill="1" applyAlignment="1">
      <alignment vertical="center"/>
    </xf>
    <xf numFmtId="0" fontId="3" fillId="4" borderId="0" xfId="0" applyFont="1" applyFill="1" applyAlignment="1">
      <alignment horizontal="center" vertical="center"/>
    </xf>
    <xf numFmtId="0" fontId="3" fillId="4" borderId="0" xfId="0" applyFont="1" applyFill="1"/>
    <xf numFmtId="0" fontId="3" fillId="0" borderId="0" xfId="0" applyFont="1"/>
    <xf numFmtId="3" fontId="3" fillId="3" borderId="0" xfId="0" applyNumberFormat="1" applyFont="1" applyFill="1" applyAlignment="1">
      <alignment horizontal="center" vertical="center"/>
    </xf>
    <xf numFmtId="0" fontId="3" fillId="5" borderId="0" xfId="0" applyFont="1" applyFill="1" applyAlignment="1">
      <alignment vertical="center" wrapText="1"/>
    </xf>
    <xf numFmtId="0" fontId="3" fillId="3" borderId="0" xfId="0" applyFont="1" applyFill="1" applyAlignment="1">
      <alignment horizontal="center" vertical="center" wrapText="1"/>
    </xf>
    <xf numFmtId="0" fontId="3"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E7DB-812A-9548-B627-D5C3315BA6D8}">
  <dimension ref="A1:AG41"/>
  <sheetViews>
    <sheetView tabSelected="1" topLeftCell="W1" workbookViewId="0">
      <selection activeCell="AF1" sqref="AF1"/>
    </sheetView>
  </sheetViews>
  <sheetFormatPr baseColWidth="10" defaultRowHeight="16" x14ac:dyDescent="0.2"/>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4" t="s">
        <v>19</v>
      </c>
      <c r="U1" s="5" t="s">
        <v>20</v>
      </c>
      <c r="V1" s="5" t="s">
        <v>21</v>
      </c>
      <c r="W1" s="6" t="s">
        <v>22</v>
      </c>
      <c r="X1" s="6" t="s">
        <v>23</v>
      </c>
      <c r="Y1" s="6" t="s">
        <v>24</v>
      </c>
      <c r="Z1" s="5" t="s">
        <v>25</v>
      </c>
      <c r="AA1" s="5" t="s">
        <v>26</v>
      </c>
      <c r="AB1" s="5" t="s">
        <v>27</v>
      </c>
      <c r="AC1" s="5" t="s">
        <v>28</v>
      </c>
      <c r="AD1" s="5" t="s">
        <v>29</v>
      </c>
      <c r="AE1" s="6" t="s">
        <v>18</v>
      </c>
      <c r="AF1" s="7" t="s">
        <v>437</v>
      </c>
    </row>
    <row r="2" spans="1:33" ht="60" x14ac:dyDescent="0.2">
      <c r="A2" s="8" t="s">
        <v>30</v>
      </c>
      <c r="B2" s="8"/>
      <c r="C2" s="8" t="s">
        <v>31</v>
      </c>
      <c r="D2" s="8" t="s">
        <v>32</v>
      </c>
      <c r="E2" s="8" t="s">
        <v>33</v>
      </c>
      <c r="F2" s="8" t="s">
        <v>34</v>
      </c>
      <c r="G2" s="8" t="s">
        <v>35</v>
      </c>
      <c r="H2" s="8" t="s">
        <v>36</v>
      </c>
      <c r="I2" s="8" t="s">
        <v>37</v>
      </c>
      <c r="J2" s="8" t="s">
        <v>38</v>
      </c>
      <c r="K2" s="8" t="s">
        <v>39</v>
      </c>
      <c r="L2" s="8" t="s">
        <v>40</v>
      </c>
      <c r="M2" s="8" t="s">
        <v>41</v>
      </c>
      <c r="N2" s="8"/>
      <c r="O2" s="8" t="s">
        <v>42</v>
      </c>
      <c r="P2" s="8"/>
      <c r="Q2" s="8" t="s">
        <v>43</v>
      </c>
      <c r="R2" s="9" t="s">
        <v>44</v>
      </c>
      <c r="S2" s="10" t="s">
        <v>45</v>
      </c>
      <c r="T2" s="11" t="s">
        <v>46</v>
      </c>
      <c r="U2" s="5" t="s">
        <v>47</v>
      </c>
      <c r="V2" s="5" t="b">
        <v>0</v>
      </c>
      <c r="W2" s="6"/>
      <c r="X2" s="6"/>
      <c r="Y2" s="6"/>
      <c r="Z2" s="5" t="b">
        <v>0</v>
      </c>
      <c r="AA2" s="5" t="b">
        <v>0</v>
      </c>
      <c r="AB2" s="5" t="b">
        <v>0</v>
      </c>
      <c r="AC2" s="5" t="b">
        <v>0</v>
      </c>
      <c r="AD2" s="5" t="s">
        <v>48</v>
      </c>
      <c r="AE2" s="12" t="s">
        <v>49</v>
      </c>
      <c r="AF2" s="13" t="str">
        <f ca="1">IFERROR(__xludf.DUMMYFUNCTION("REGEXREPLACE(REGEXREPLACE(O2, ""[^0-9]"", """"), ""^620"", ""62"")"),"6285298545951")</f>
        <v>6285298545951</v>
      </c>
    </row>
    <row r="3" spans="1:33" ht="75" x14ac:dyDescent="0.2">
      <c r="A3" s="8" t="s">
        <v>50</v>
      </c>
      <c r="B3" s="8"/>
      <c r="C3" s="8" t="s">
        <v>31</v>
      </c>
      <c r="D3" s="8" t="s">
        <v>51</v>
      </c>
      <c r="E3" s="8" t="s">
        <v>52</v>
      </c>
      <c r="F3" s="8" t="s">
        <v>34</v>
      </c>
      <c r="G3" s="8" t="s">
        <v>35</v>
      </c>
      <c r="H3" s="8" t="s">
        <v>36</v>
      </c>
      <c r="I3" s="8" t="s">
        <v>53</v>
      </c>
      <c r="J3" s="8" t="s">
        <v>54</v>
      </c>
      <c r="K3" s="8" t="s">
        <v>55</v>
      </c>
      <c r="L3" s="8" t="s">
        <v>56</v>
      </c>
      <c r="M3" s="8" t="s">
        <v>57</v>
      </c>
      <c r="N3" s="8"/>
      <c r="O3" s="8" t="s">
        <v>58</v>
      </c>
      <c r="P3" s="8"/>
      <c r="Q3" s="8" t="s">
        <v>59</v>
      </c>
      <c r="R3" s="9" t="s">
        <v>60</v>
      </c>
      <c r="S3" s="10" t="s">
        <v>61</v>
      </c>
      <c r="T3" s="14" t="s">
        <v>46</v>
      </c>
      <c r="U3" s="15" t="s">
        <v>46</v>
      </c>
      <c r="V3" s="15" t="b">
        <v>0</v>
      </c>
      <c r="W3" s="16"/>
      <c r="X3" s="16"/>
      <c r="Y3" s="16"/>
      <c r="Z3" s="15" t="b">
        <v>0</v>
      </c>
      <c r="AA3" s="15" t="b">
        <v>0</v>
      </c>
      <c r="AB3" s="15" t="b">
        <v>0</v>
      </c>
      <c r="AC3" s="15" t="b">
        <v>0</v>
      </c>
      <c r="AD3" s="15"/>
      <c r="AE3" s="17"/>
      <c r="AF3" s="13" t="str">
        <f ca="1">IFERROR(__xludf.DUMMYFUNCTION("REGEXREPLACE(REGEXREPLACE(O3, ""[^0-9]"", """"), ""^620"", ""62"")"),"6283153295492")</f>
        <v>6283153295492</v>
      </c>
      <c r="AG3" s="18" t="s">
        <v>62</v>
      </c>
    </row>
    <row r="4" spans="1:33" ht="60" x14ac:dyDescent="0.2">
      <c r="A4" s="8" t="s">
        <v>63</v>
      </c>
      <c r="B4" s="8"/>
      <c r="C4" s="8" t="s">
        <v>31</v>
      </c>
      <c r="D4" s="8" t="s">
        <v>51</v>
      </c>
      <c r="E4" s="8" t="s">
        <v>64</v>
      </c>
      <c r="F4" s="8" t="s">
        <v>34</v>
      </c>
      <c r="G4" s="8" t="s">
        <v>35</v>
      </c>
      <c r="H4" s="8" t="s">
        <v>36</v>
      </c>
      <c r="I4" s="8" t="s">
        <v>65</v>
      </c>
      <c r="J4" s="8" t="s">
        <v>66</v>
      </c>
      <c r="K4" s="8" t="s">
        <v>55</v>
      </c>
      <c r="L4" s="8" t="s">
        <v>40</v>
      </c>
      <c r="M4" s="8" t="s">
        <v>67</v>
      </c>
      <c r="N4" s="8" t="s">
        <v>68</v>
      </c>
      <c r="O4" s="8" t="s">
        <v>69</v>
      </c>
      <c r="P4" s="8" t="s">
        <v>70</v>
      </c>
      <c r="Q4" s="8" t="s">
        <v>71</v>
      </c>
      <c r="R4" s="9" t="s">
        <v>44</v>
      </c>
      <c r="S4" s="10" t="s">
        <v>72</v>
      </c>
      <c r="T4" s="11" t="s">
        <v>73</v>
      </c>
      <c r="U4" s="5" t="s">
        <v>74</v>
      </c>
      <c r="V4" s="5" t="b">
        <v>1</v>
      </c>
      <c r="W4" s="6" t="s">
        <v>75</v>
      </c>
      <c r="X4" s="6" t="s">
        <v>76</v>
      </c>
      <c r="Y4" s="6"/>
      <c r="Z4" s="5" t="b">
        <v>1</v>
      </c>
      <c r="AA4" s="5" t="b">
        <v>1</v>
      </c>
      <c r="AB4" s="5" t="b">
        <v>1</v>
      </c>
      <c r="AC4" s="5" t="b">
        <v>1</v>
      </c>
      <c r="AD4" s="11" t="s">
        <v>77</v>
      </c>
      <c r="AE4" s="12" t="s">
        <v>49</v>
      </c>
      <c r="AF4" s="13" t="str">
        <f ca="1">IFERROR(__xludf.DUMMYFUNCTION("REGEXREPLACE(REGEXREPLACE(O4, ""[^0-9]"", """"), ""^620"", ""62"")"),"6281241179615")</f>
        <v>6281241179615</v>
      </c>
    </row>
    <row r="5" spans="1:33" x14ac:dyDescent="0.2">
      <c r="A5" s="8" t="s">
        <v>78</v>
      </c>
      <c r="B5" s="8"/>
      <c r="C5" s="8" t="s">
        <v>31</v>
      </c>
      <c r="D5" s="8" t="s">
        <v>51</v>
      </c>
      <c r="E5" s="8" t="s">
        <v>79</v>
      </c>
      <c r="F5" s="8" t="s">
        <v>34</v>
      </c>
      <c r="G5" s="8" t="s">
        <v>35</v>
      </c>
      <c r="H5" s="8" t="s">
        <v>36</v>
      </c>
      <c r="I5" s="8" t="s">
        <v>53</v>
      </c>
      <c r="J5" s="8" t="s">
        <v>80</v>
      </c>
      <c r="K5" s="8" t="s">
        <v>55</v>
      </c>
      <c r="L5" s="8" t="s">
        <v>40</v>
      </c>
      <c r="M5" s="8" t="s">
        <v>67</v>
      </c>
      <c r="N5" s="8" t="s">
        <v>81</v>
      </c>
      <c r="O5" s="8" t="s">
        <v>82</v>
      </c>
      <c r="P5" s="8" t="s">
        <v>83</v>
      </c>
      <c r="Q5" s="8" t="s">
        <v>84</v>
      </c>
      <c r="R5" s="9" t="s">
        <v>85</v>
      </c>
      <c r="S5" s="10" t="s">
        <v>86</v>
      </c>
      <c r="T5" s="11" t="s">
        <v>87</v>
      </c>
      <c r="U5" s="5" t="s">
        <v>88</v>
      </c>
      <c r="V5" s="5" t="b">
        <v>1</v>
      </c>
      <c r="W5" s="6" t="s">
        <v>89</v>
      </c>
      <c r="X5" s="6" t="s">
        <v>90</v>
      </c>
      <c r="Y5" s="6">
        <v>128</v>
      </c>
      <c r="Z5" s="5" t="b">
        <v>1</v>
      </c>
      <c r="AA5" s="5" t="b">
        <v>1</v>
      </c>
      <c r="AB5" s="5" t="b">
        <v>1</v>
      </c>
      <c r="AC5" s="5" t="b">
        <v>1</v>
      </c>
      <c r="AD5" s="5"/>
      <c r="AE5" s="12" t="s">
        <v>49</v>
      </c>
      <c r="AF5" s="13" t="str">
        <f ca="1">IFERROR(__xludf.DUMMYFUNCTION("REGEXREPLACE(REGEXREPLACE(O5, ""[^0-9]"", """"), ""^620"", ""62"")"),"6285240356366")</f>
        <v>6285240356366</v>
      </c>
    </row>
    <row r="6" spans="1:33" ht="45" x14ac:dyDescent="0.2">
      <c r="A6" s="8" t="s">
        <v>91</v>
      </c>
      <c r="B6" s="8"/>
      <c r="C6" s="8" t="s">
        <v>31</v>
      </c>
      <c r="D6" s="8" t="s">
        <v>51</v>
      </c>
      <c r="E6" s="8" t="s">
        <v>92</v>
      </c>
      <c r="F6" s="8" t="s">
        <v>34</v>
      </c>
      <c r="G6" s="8" t="s">
        <v>35</v>
      </c>
      <c r="H6" s="8" t="s">
        <v>36</v>
      </c>
      <c r="I6" s="8" t="s">
        <v>93</v>
      </c>
      <c r="J6" s="8" t="s">
        <v>94</v>
      </c>
      <c r="K6" s="8" t="s">
        <v>39</v>
      </c>
      <c r="L6" s="8" t="s">
        <v>95</v>
      </c>
      <c r="M6" s="8" t="s">
        <v>67</v>
      </c>
      <c r="N6" s="8" t="s">
        <v>96</v>
      </c>
      <c r="O6" s="8" t="s">
        <v>97</v>
      </c>
      <c r="P6" s="8"/>
      <c r="Q6" s="8" t="s">
        <v>98</v>
      </c>
      <c r="R6" s="9" t="s">
        <v>60</v>
      </c>
      <c r="S6" s="10" t="s">
        <v>99</v>
      </c>
      <c r="T6" s="14"/>
      <c r="U6" s="15"/>
      <c r="V6" s="15" t="b">
        <v>0</v>
      </c>
      <c r="W6" s="16"/>
      <c r="X6" s="16"/>
      <c r="Y6" s="16"/>
      <c r="Z6" s="15" t="b">
        <v>0</v>
      </c>
      <c r="AA6" s="15" t="b">
        <v>0</v>
      </c>
      <c r="AB6" s="15" t="b">
        <v>0</v>
      </c>
      <c r="AC6" s="15" t="b">
        <v>0</v>
      </c>
      <c r="AD6" s="15"/>
      <c r="AE6" s="17"/>
      <c r="AF6" s="13" t="str">
        <f ca="1">IFERROR(__xludf.DUMMYFUNCTION("REGEXREPLACE(REGEXREPLACE(O6, ""[^0-9]"", """"), ""^620"", ""62"")"),"6281242290880")</f>
        <v>6281242290880</v>
      </c>
      <c r="AG6" s="18" t="s">
        <v>62</v>
      </c>
    </row>
    <row r="7" spans="1:33" ht="75" x14ac:dyDescent="0.2">
      <c r="A7" s="8" t="s">
        <v>100</v>
      </c>
      <c r="B7" s="8"/>
      <c r="C7" s="8" t="s">
        <v>31</v>
      </c>
      <c r="D7" s="8" t="s">
        <v>51</v>
      </c>
      <c r="E7" s="8" t="s">
        <v>101</v>
      </c>
      <c r="F7" s="8" t="s">
        <v>34</v>
      </c>
      <c r="G7" s="8" t="s">
        <v>35</v>
      </c>
      <c r="H7" s="8" t="s">
        <v>36</v>
      </c>
      <c r="I7" s="8" t="s">
        <v>53</v>
      </c>
      <c r="J7" s="8" t="s">
        <v>102</v>
      </c>
      <c r="K7" s="8" t="s">
        <v>39</v>
      </c>
      <c r="L7" s="8" t="s">
        <v>40</v>
      </c>
      <c r="M7" s="8" t="s">
        <v>67</v>
      </c>
      <c r="N7" s="8" t="s">
        <v>103</v>
      </c>
      <c r="O7" s="8" t="s">
        <v>104</v>
      </c>
      <c r="P7" s="8"/>
      <c r="Q7" s="8" t="s">
        <v>105</v>
      </c>
      <c r="R7" s="9" t="s">
        <v>44</v>
      </c>
      <c r="S7" s="10" t="s">
        <v>106</v>
      </c>
      <c r="T7" s="11" t="s">
        <v>46</v>
      </c>
      <c r="U7" s="5" t="s">
        <v>74</v>
      </c>
      <c r="V7" s="5" t="b">
        <v>1</v>
      </c>
      <c r="W7" s="6" t="s">
        <v>107</v>
      </c>
      <c r="X7" s="6" t="s">
        <v>108</v>
      </c>
      <c r="Y7" s="6">
        <v>128</v>
      </c>
      <c r="Z7" s="6" t="s">
        <v>46</v>
      </c>
      <c r="AA7" s="5" t="b">
        <v>1</v>
      </c>
      <c r="AB7" s="5" t="b">
        <v>1</v>
      </c>
      <c r="AC7" s="5" t="b">
        <v>1</v>
      </c>
      <c r="AD7" s="5" t="s">
        <v>46</v>
      </c>
      <c r="AE7" s="5"/>
      <c r="AF7" s="13" t="str">
        <f ca="1">IFERROR(__xludf.DUMMYFUNCTION("REGEXREPLACE(REGEXREPLACE(O7, ""[^0-9]"", """"), ""^620"", ""62"")"),"6282393073620")</f>
        <v>6282393073620</v>
      </c>
    </row>
    <row r="8" spans="1:33" ht="328" x14ac:dyDescent="0.2">
      <c r="A8" s="8" t="s">
        <v>109</v>
      </c>
      <c r="B8" s="8"/>
      <c r="C8" s="8" t="s">
        <v>31</v>
      </c>
      <c r="D8" s="8" t="s">
        <v>32</v>
      </c>
      <c r="E8" s="8" t="s">
        <v>110</v>
      </c>
      <c r="F8" s="8" t="s">
        <v>34</v>
      </c>
      <c r="G8" s="8" t="s">
        <v>35</v>
      </c>
      <c r="H8" s="8" t="s">
        <v>36</v>
      </c>
      <c r="I8" s="8" t="s">
        <v>111</v>
      </c>
      <c r="J8" s="8" t="s">
        <v>112</v>
      </c>
      <c r="K8" s="8" t="s">
        <v>39</v>
      </c>
      <c r="L8" s="8" t="s">
        <v>40</v>
      </c>
      <c r="M8" s="8" t="s">
        <v>113</v>
      </c>
      <c r="N8" s="8"/>
      <c r="O8" s="8" t="s">
        <v>114</v>
      </c>
      <c r="P8" s="8"/>
      <c r="Q8" s="8" t="s">
        <v>115</v>
      </c>
      <c r="R8" s="9" t="s">
        <v>44</v>
      </c>
      <c r="S8" s="10" t="s">
        <v>116</v>
      </c>
      <c r="T8" s="11" t="s">
        <v>46</v>
      </c>
      <c r="U8" s="5" t="s">
        <v>117</v>
      </c>
      <c r="V8" s="5" t="b">
        <v>1</v>
      </c>
      <c r="W8" s="6" t="s">
        <v>118</v>
      </c>
      <c r="X8" s="6" t="s">
        <v>119</v>
      </c>
      <c r="Y8" s="19">
        <v>8128</v>
      </c>
      <c r="Z8" s="5" t="b">
        <v>1</v>
      </c>
      <c r="AA8" s="5" t="b">
        <v>1</v>
      </c>
      <c r="AB8" s="5" t="b">
        <v>1</v>
      </c>
      <c r="AC8" s="5" t="b">
        <v>1</v>
      </c>
      <c r="AD8" s="5" t="s">
        <v>46</v>
      </c>
      <c r="AE8" s="11" t="s">
        <v>120</v>
      </c>
      <c r="AF8" s="13" t="str">
        <f ca="1">IFERROR(__xludf.DUMMYFUNCTION("REGEXREPLACE(REGEXREPLACE(O8, ""[^0-9]"", """"), ""^620"", ""62"")"),"6282197299074")</f>
        <v>6282197299074</v>
      </c>
    </row>
    <row r="9" spans="1:33" ht="105" x14ac:dyDescent="0.2">
      <c r="A9" s="8" t="s">
        <v>121</v>
      </c>
      <c r="B9" s="8"/>
      <c r="C9" s="8" t="s">
        <v>31</v>
      </c>
      <c r="D9" s="8" t="s">
        <v>32</v>
      </c>
      <c r="E9" s="8" t="s">
        <v>122</v>
      </c>
      <c r="F9" s="8" t="s">
        <v>34</v>
      </c>
      <c r="G9" s="8" t="s">
        <v>35</v>
      </c>
      <c r="H9" s="8" t="s">
        <v>36</v>
      </c>
      <c r="I9" s="8" t="s">
        <v>123</v>
      </c>
      <c r="J9" s="8" t="s">
        <v>124</v>
      </c>
      <c r="K9" s="8" t="s">
        <v>55</v>
      </c>
      <c r="L9" s="8" t="s">
        <v>40</v>
      </c>
      <c r="M9" s="8" t="s">
        <v>125</v>
      </c>
      <c r="N9" s="8"/>
      <c r="O9" s="8" t="s">
        <v>126</v>
      </c>
      <c r="P9" s="8"/>
      <c r="Q9" s="8" t="s">
        <v>127</v>
      </c>
      <c r="R9" s="9" t="s">
        <v>44</v>
      </c>
      <c r="S9" s="10" t="s">
        <v>128</v>
      </c>
      <c r="T9" s="11" t="s">
        <v>46</v>
      </c>
      <c r="U9" s="5" t="s">
        <v>74</v>
      </c>
      <c r="V9" s="5" t="b">
        <v>1</v>
      </c>
      <c r="W9" s="6" t="s">
        <v>129</v>
      </c>
      <c r="X9" s="6" t="s">
        <v>130</v>
      </c>
      <c r="Y9" s="6">
        <v>128</v>
      </c>
      <c r="Z9" s="5" t="b">
        <v>1</v>
      </c>
      <c r="AA9" s="5" t="b">
        <v>1</v>
      </c>
      <c r="AB9" s="5" t="b">
        <v>1</v>
      </c>
      <c r="AC9" s="5" t="b">
        <v>1</v>
      </c>
      <c r="AD9" s="5" t="s">
        <v>46</v>
      </c>
      <c r="AE9" s="11" t="s">
        <v>131</v>
      </c>
      <c r="AF9" s="13" t="str">
        <f ca="1">IFERROR(__xludf.DUMMYFUNCTION("REGEXREPLACE(REGEXREPLACE(O9, ""[^0-9]"", """"), ""^620"", ""62"")"),"6282190171416")</f>
        <v>6282190171416</v>
      </c>
    </row>
    <row r="10" spans="1:33" ht="75" x14ac:dyDescent="0.2">
      <c r="A10" s="8" t="s">
        <v>132</v>
      </c>
      <c r="B10" s="8"/>
      <c r="C10" s="8" t="s">
        <v>31</v>
      </c>
      <c r="D10" s="8" t="s">
        <v>32</v>
      </c>
      <c r="E10" s="8" t="s">
        <v>133</v>
      </c>
      <c r="F10" s="8" t="s">
        <v>34</v>
      </c>
      <c r="G10" s="8" t="s">
        <v>35</v>
      </c>
      <c r="H10" s="8" t="s">
        <v>36</v>
      </c>
      <c r="I10" s="8" t="s">
        <v>134</v>
      </c>
      <c r="J10" s="8" t="s">
        <v>135</v>
      </c>
      <c r="K10" s="8" t="s">
        <v>55</v>
      </c>
      <c r="L10" s="8" t="s">
        <v>40</v>
      </c>
      <c r="M10" s="8" t="s">
        <v>125</v>
      </c>
      <c r="N10" s="8"/>
      <c r="O10" s="8" t="s">
        <v>136</v>
      </c>
      <c r="P10" s="8" t="s">
        <v>137</v>
      </c>
      <c r="Q10" s="8" t="s">
        <v>138</v>
      </c>
      <c r="R10" s="9" t="s">
        <v>44</v>
      </c>
      <c r="S10" s="10" t="s">
        <v>139</v>
      </c>
      <c r="T10" s="11" t="s">
        <v>87</v>
      </c>
      <c r="U10" s="5" t="s">
        <v>74</v>
      </c>
      <c r="V10" s="5" t="b">
        <v>1</v>
      </c>
      <c r="W10" s="6" t="s">
        <v>129</v>
      </c>
      <c r="X10" s="6" t="s">
        <v>90</v>
      </c>
      <c r="Y10" s="6">
        <v>128</v>
      </c>
      <c r="Z10" s="5" t="b">
        <v>1</v>
      </c>
      <c r="AA10" s="5" t="b">
        <v>1</v>
      </c>
      <c r="AB10" s="5" t="b">
        <v>1</v>
      </c>
      <c r="AC10" s="5" t="b">
        <v>1</v>
      </c>
      <c r="AD10" s="11" t="s">
        <v>140</v>
      </c>
      <c r="AE10" s="5" t="s">
        <v>141</v>
      </c>
      <c r="AF10" s="13" t="str">
        <f ca="1">IFERROR(__xludf.DUMMYFUNCTION("REGEXREPLACE(REGEXREPLACE(O10, ""[^0-9]"", """"), ""^620"", ""62"")"),"6281342592815")</f>
        <v>6281342592815</v>
      </c>
    </row>
    <row r="11" spans="1:33" ht="180" x14ac:dyDescent="0.2">
      <c r="A11" s="8" t="s">
        <v>142</v>
      </c>
      <c r="B11" s="8"/>
      <c r="C11" s="8" t="s">
        <v>31</v>
      </c>
      <c r="D11" s="8" t="s">
        <v>32</v>
      </c>
      <c r="E11" s="8" t="s">
        <v>143</v>
      </c>
      <c r="F11" s="8" t="s">
        <v>34</v>
      </c>
      <c r="G11" s="8" t="s">
        <v>35</v>
      </c>
      <c r="H11" s="8" t="s">
        <v>36</v>
      </c>
      <c r="I11" s="8" t="s">
        <v>53</v>
      </c>
      <c r="J11" s="8" t="s">
        <v>144</v>
      </c>
      <c r="K11" s="8" t="s">
        <v>55</v>
      </c>
      <c r="L11" s="8" t="s">
        <v>40</v>
      </c>
      <c r="M11" s="8" t="s">
        <v>57</v>
      </c>
      <c r="N11" s="8"/>
      <c r="O11" s="8" t="s">
        <v>145</v>
      </c>
      <c r="P11" s="8" t="s">
        <v>146</v>
      </c>
      <c r="Q11" s="8" t="s">
        <v>147</v>
      </c>
      <c r="R11" s="9" t="s">
        <v>44</v>
      </c>
      <c r="S11" s="10" t="s">
        <v>148</v>
      </c>
      <c r="T11" s="20" t="s">
        <v>149</v>
      </c>
      <c r="U11" s="5" t="s">
        <v>74</v>
      </c>
      <c r="V11" s="5" t="b">
        <v>1</v>
      </c>
      <c r="W11" s="6" t="s">
        <v>150</v>
      </c>
      <c r="X11" s="6" t="s">
        <v>151</v>
      </c>
      <c r="Y11" s="6"/>
      <c r="Z11" s="5" t="b">
        <v>1</v>
      </c>
      <c r="AA11" s="5" t="b">
        <v>1</v>
      </c>
      <c r="AB11" s="6" t="s">
        <v>46</v>
      </c>
      <c r="AC11" s="5" t="b">
        <v>1</v>
      </c>
      <c r="AD11" s="11" t="s">
        <v>152</v>
      </c>
      <c r="AE11" s="11" t="s">
        <v>153</v>
      </c>
      <c r="AF11" s="13" t="str">
        <f ca="1">IFERROR(__xludf.DUMMYFUNCTION("REGEXREPLACE(REGEXREPLACE(O11, ""[^0-9]"", """"), ""^620"", ""62"")"),"6285256463452")</f>
        <v>6285256463452</v>
      </c>
    </row>
    <row r="12" spans="1:33" ht="90" x14ac:dyDescent="0.2">
      <c r="A12" s="8" t="s">
        <v>154</v>
      </c>
      <c r="B12" s="8"/>
      <c r="C12" s="8" t="s">
        <v>31</v>
      </c>
      <c r="D12" s="8" t="s">
        <v>155</v>
      </c>
      <c r="E12" s="8" t="s">
        <v>156</v>
      </c>
      <c r="F12" s="8" t="s">
        <v>34</v>
      </c>
      <c r="G12" s="8" t="s">
        <v>35</v>
      </c>
      <c r="H12" s="8" t="s">
        <v>36</v>
      </c>
      <c r="I12" s="8" t="s">
        <v>157</v>
      </c>
      <c r="J12" s="8" t="s">
        <v>158</v>
      </c>
      <c r="K12" s="8" t="s">
        <v>39</v>
      </c>
      <c r="L12" s="8" t="s">
        <v>40</v>
      </c>
      <c r="M12" s="8" t="s">
        <v>67</v>
      </c>
      <c r="N12" s="8" t="s">
        <v>159</v>
      </c>
      <c r="O12" s="8" t="s">
        <v>160</v>
      </c>
      <c r="P12" s="8" t="s">
        <v>161</v>
      </c>
      <c r="Q12" s="8" t="s">
        <v>162</v>
      </c>
      <c r="R12" s="9" t="s">
        <v>85</v>
      </c>
      <c r="S12" s="10" t="s">
        <v>163</v>
      </c>
      <c r="T12" s="11" t="s">
        <v>46</v>
      </c>
      <c r="U12" s="5" t="s">
        <v>74</v>
      </c>
      <c r="V12" s="5" t="b">
        <v>1</v>
      </c>
      <c r="W12" s="21" t="s">
        <v>164</v>
      </c>
      <c r="X12" s="6" t="s">
        <v>165</v>
      </c>
      <c r="Y12" s="6"/>
      <c r="Z12" s="5" t="b">
        <v>1</v>
      </c>
      <c r="AA12" s="5" t="b">
        <v>1</v>
      </c>
      <c r="AB12" s="5" t="b">
        <v>1</v>
      </c>
      <c r="AC12" s="5" t="b">
        <v>1</v>
      </c>
      <c r="AD12" s="5" t="s">
        <v>166</v>
      </c>
      <c r="AE12" s="5" t="s">
        <v>49</v>
      </c>
      <c r="AF12" s="13" t="str">
        <f ca="1">IFERROR(__xludf.DUMMYFUNCTION("REGEXREPLACE(REGEXREPLACE(O12, ""[^0-9]"", """"), ""^620"", ""62"")"),"6281228478006")</f>
        <v>6281228478006</v>
      </c>
    </row>
    <row r="13" spans="1:33" ht="60" x14ac:dyDescent="0.2">
      <c r="A13" s="8" t="s">
        <v>167</v>
      </c>
      <c r="B13" s="8"/>
      <c r="C13" s="8" t="s">
        <v>31</v>
      </c>
      <c r="D13" s="8" t="s">
        <v>51</v>
      </c>
      <c r="E13" s="8" t="s">
        <v>168</v>
      </c>
      <c r="F13" s="8" t="s">
        <v>34</v>
      </c>
      <c r="G13" s="8" t="s">
        <v>35</v>
      </c>
      <c r="H13" s="8" t="s">
        <v>36</v>
      </c>
      <c r="I13" s="8" t="s">
        <v>53</v>
      </c>
      <c r="J13" s="8" t="s">
        <v>169</v>
      </c>
      <c r="K13" s="8" t="s">
        <v>55</v>
      </c>
      <c r="L13" s="8" t="s">
        <v>56</v>
      </c>
      <c r="M13" s="8" t="s">
        <v>113</v>
      </c>
      <c r="N13" s="8"/>
      <c r="O13" s="8" t="s">
        <v>170</v>
      </c>
      <c r="P13" s="8"/>
      <c r="Q13" s="8" t="s">
        <v>171</v>
      </c>
      <c r="R13" s="9" t="s">
        <v>44</v>
      </c>
      <c r="S13" s="10" t="s">
        <v>172</v>
      </c>
      <c r="T13" s="11" t="s">
        <v>46</v>
      </c>
      <c r="U13" s="5" t="s">
        <v>74</v>
      </c>
      <c r="V13" s="5" t="b">
        <v>1</v>
      </c>
      <c r="W13" s="6" t="s">
        <v>173</v>
      </c>
      <c r="X13" s="21" t="s">
        <v>174</v>
      </c>
      <c r="Y13" s="6">
        <v>256</v>
      </c>
      <c r="Z13" s="5" t="b">
        <v>1</v>
      </c>
      <c r="AA13" s="5" t="b">
        <v>1</v>
      </c>
      <c r="AB13" s="5" t="b">
        <v>1</v>
      </c>
      <c r="AC13" s="5" t="b">
        <v>1</v>
      </c>
      <c r="AD13" s="5" t="s">
        <v>46</v>
      </c>
      <c r="AE13" s="5" t="s">
        <v>49</v>
      </c>
      <c r="AF13" s="13" t="str">
        <f ca="1">IFERROR(__xludf.DUMMYFUNCTION("REGEXREPLACE(REGEXREPLACE(O13, ""[^0-9]"", """"), ""^620"", ""62"")"),"6282396240085")</f>
        <v>6282396240085</v>
      </c>
    </row>
    <row r="14" spans="1:33" ht="342" x14ac:dyDescent="0.2">
      <c r="A14" s="8" t="s">
        <v>175</v>
      </c>
      <c r="B14" s="8"/>
      <c r="C14" s="8" t="s">
        <v>31</v>
      </c>
      <c r="D14" s="8" t="s">
        <v>32</v>
      </c>
      <c r="E14" s="8" t="s">
        <v>176</v>
      </c>
      <c r="F14" s="8" t="s">
        <v>34</v>
      </c>
      <c r="G14" s="8" t="s">
        <v>35</v>
      </c>
      <c r="H14" s="8" t="s">
        <v>36</v>
      </c>
      <c r="I14" s="8" t="s">
        <v>177</v>
      </c>
      <c r="J14" s="8" t="s">
        <v>178</v>
      </c>
      <c r="K14" s="8" t="s">
        <v>39</v>
      </c>
      <c r="L14" s="8" t="s">
        <v>40</v>
      </c>
      <c r="M14" s="8" t="s">
        <v>41</v>
      </c>
      <c r="N14" s="8"/>
      <c r="O14" s="8" t="s">
        <v>179</v>
      </c>
      <c r="P14" s="8" t="s">
        <v>180</v>
      </c>
      <c r="Q14" s="8" t="s">
        <v>181</v>
      </c>
      <c r="R14" s="9" t="s">
        <v>85</v>
      </c>
      <c r="S14" s="10"/>
      <c r="T14" s="11" t="s">
        <v>46</v>
      </c>
      <c r="U14" s="5" t="s">
        <v>74</v>
      </c>
      <c r="V14" s="5" t="b">
        <v>1</v>
      </c>
      <c r="W14" s="6" t="s">
        <v>182</v>
      </c>
      <c r="X14" s="6" t="s">
        <v>183</v>
      </c>
      <c r="Y14" s="6">
        <v>128</v>
      </c>
      <c r="Z14" s="5" t="b">
        <v>1</v>
      </c>
      <c r="AA14" s="5" t="b">
        <v>1</v>
      </c>
      <c r="AB14" s="5" t="b">
        <v>1</v>
      </c>
      <c r="AC14" s="5" t="b">
        <v>1</v>
      </c>
      <c r="AD14" s="5" t="s">
        <v>46</v>
      </c>
      <c r="AE14" s="11" t="s">
        <v>184</v>
      </c>
      <c r="AF14" s="13" t="str">
        <f ca="1">IFERROR(__xludf.DUMMYFUNCTION("REGEXREPLACE(REGEXREPLACE(O14, ""[^0-9]"", """"), ""^620"", ""62"")"),"6282293371648")</f>
        <v>6282293371648</v>
      </c>
    </row>
    <row r="15" spans="1:33" ht="45" x14ac:dyDescent="0.2">
      <c r="A15" s="8" t="s">
        <v>185</v>
      </c>
      <c r="B15" s="8"/>
      <c r="C15" s="8" t="s">
        <v>31</v>
      </c>
      <c r="D15" s="8" t="s">
        <v>32</v>
      </c>
      <c r="E15" s="8" t="s">
        <v>186</v>
      </c>
      <c r="F15" s="8" t="s">
        <v>34</v>
      </c>
      <c r="G15" s="8" t="s">
        <v>35</v>
      </c>
      <c r="H15" s="8" t="s">
        <v>36</v>
      </c>
      <c r="I15" s="8" t="s">
        <v>53</v>
      </c>
      <c r="J15" s="8" t="s">
        <v>187</v>
      </c>
      <c r="K15" s="8" t="s">
        <v>39</v>
      </c>
      <c r="L15" s="8" t="s">
        <v>40</v>
      </c>
      <c r="M15" s="8" t="s">
        <v>188</v>
      </c>
      <c r="N15" s="8"/>
      <c r="O15" s="8" t="s">
        <v>189</v>
      </c>
      <c r="P15" s="8"/>
      <c r="Q15" s="8" t="s">
        <v>190</v>
      </c>
      <c r="R15" s="9" t="s">
        <v>85</v>
      </c>
      <c r="S15" s="10"/>
      <c r="T15" s="20" t="s">
        <v>191</v>
      </c>
      <c r="U15" s="5" t="s">
        <v>74</v>
      </c>
      <c r="V15" s="5" t="b">
        <v>1</v>
      </c>
      <c r="W15" s="6" t="s">
        <v>192</v>
      </c>
      <c r="X15" s="6" t="s">
        <v>193</v>
      </c>
      <c r="Y15" s="22">
        <v>6</v>
      </c>
      <c r="Z15" s="5" t="b">
        <v>1</v>
      </c>
      <c r="AA15" s="5" t="b">
        <v>1</v>
      </c>
      <c r="AB15" s="5" t="b">
        <v>1</v>
      </c>
      <c r="AC15" s="5" t="b">
        <v>1</v>
      </c>
      <c r="AD15" s="5" t="s">
        <v>194</v>
      </c>
      <c r="AE15" s="11" t="s">
        <v>195</v>
      </c>
      <c r="AF15" s="13" t="str">
        <f ca="1">IFERROR(__xludf.DUMMYFUNCTION("REGEXREPLACE(REGEXREPLACE(O15, ""[^0-9]"", """"), ""^620"", ""62"")"),"6282193365980")</f>
        <v>6282193365980</v>
      </c>
    </row>
    <row r="16" spans="1:33" x14ac:dyDescent="0.2">
      <c r="A16" s="8" t="s">
        <v>196</v>
      </c>
      <c r="B16" s="8"/>
      <c r="C16" s="8" t="s">
        <v>31</v>
      </c>
      <c r="D16" s="8" t="s">
        <v>32</v>
      </c>
      <c r="E16" s="8" t="s">
        <v>197</v>
      </c>
      <c r="F16" s="8" t="s">
        <v>34</v>
      </c>
      <c r="G16" s="8" t="s">
        <v>35</v>
      </c>
      <c r="H16" s="8" t="s">
        <v>36</v>
      </c>
      <c r="I16" s="8" t="s">
        <v>198</v>
      </c>
      <c r="J16" s="8" t="s">
        <v>199</v>
      </c>
      <c r="K16" s="8" t="s">
        <v>39</v>
      </c>
      <c r="L16" s="8" t="s">
        <v>40</v>
      </c>
      <c r="M16" s="8" t="s">
        <v>67</v>
      </c>
      <c r="N16" s="8" t="s">
        <v>200</v>
      </c>
      <c r="O16" s="8" t="s">
        <v>201</v>
      </c>
      <c r="P16" s="8"/>
      <c r="Q16" s="8" t="s">
        <v>202</v>
      </c>
      <c r="R16" s="9" t="s">
        <v>85</v>
      </c>
      <c r="S16" s="10"/>
      <c r="T16" s="11" t="s">
        <v>46</v>
      </c>
      <c r="U16" s="5" t="s">
        <v>74</v>
      </c>
      <c r="V16" s="5" t="b">
        <v>1</v>
      </c>
      <c r="W16" s="6" t="s">
        <v>203</v>
      </c>
      <c r="X16" s="6" t="s">
        <v>204</v>
      </c>
      <c r="Y16" s="6">
        <v>32</v>
      </c>
      <c r="Z16" s="5" t="b">
        <v>1</v>
      </c>
      <c r="AA16" s="5" t="b">
        <v>1</v>
      </c>
      <c r="AB16" s="5" t="b">
        <v>1</v>
      </c>
      <c r="AC16" s="5" t="b">
        <v>1</v>
      </c>
      <c r="AD16" s="5" t="s">
        <v>46</v>
      </c>
      <c r="AE16" s="5" t="s">
        <v>49</v>
      </c>
      <c r="AF16" s="13" t="str">
        <f ca="1">IFERROR(__xludf.DUMMYFUNCTION("REGEXREPLACE(REGEXREPLACE(O16, ""[^0-9]"", """"), ""^620"", ""62"")"),"6281216261460")</f>
        <v>6281216261460</v>
      </c>
    </row>
    <row r="17" spans="1:32" ht="105" x14ac:dyDescent="0.2">
      <c r="A17" s="8" t="s">
        <v>205</v>
      </c>
      <c r="B17" s="8"/>
      <c r="C17" s="8" t="s">
        <v>31</v>
      </c>
      <c r="D17" s="8" t="s">
        <v>32</v>
      </c>
      <c r="E17" s="8" t="s">
        <v>206</v>
      </c>
      <c r="F17" s="8" t="s">
        <v>34</v>
      </c>
      <c r="G17" s="8" t="s">
        <v>35</v>
      </c>
      <c r="H17" s="8" t="s">
        <v>36</v>
      </c>
      <c r="I17" s="8" t="s">
        <v>37</v>
      </c>
      <c r="J17" s="8" t="s">
        <v>207</v>
      </c>
      <c r="K17" s="8" t="s">
        <v>55</v>
      </c>
      <c r="L17" s="8" t="s">
        <v>56</v>
      </c>
      <c r="M17" s="8" t="s">
        <v>113</v>
      </c>
      <c r="N17" s="8"/>
      <c r="O17" s="8" t="s">
        <v>208</v>
      </c>
      <c r="P17" s="8" t="s">
        <v>209</v>
      </c>
      <c r="Q17" s="8" t="s">
        <v>210</v>
      </c>
      <c r="R17" s="9" t="s">
        <v>44</v>
      </c>
      <c r="S17" s="10" t="s">
        <v>211</v>
      </c>
      <c r="T17" s="20" t="s">
        <v>191</v>
      </c>
      <c r="U17" s="5" t="s">
        <v>74</v>
      </c>
      <c r="V17" s="5" t="b">
        <v>1</v>
      </c>
      <c r="W17" s="6" t="s">
        <v>173</v>
      </c>
      <c r="X17" s="6" t="s">
        <v>212</v>
      </c>
      <c r="Y17" s="6">
        <v>2</v>
      </c>
      <c r="Z17" s="5" t="b">
        <v>1</v>
      </c>
      <c r="AA17" s="5" t="b">
        <v>1</v>
      </c>
      <c r="AB17" s="5" t="b">
        <v>1</v>
      </c>
      <c r="AC17" s="5" t="b">
        <v>1</v>
      </c>
      <c r="AD17" s="11" t="s">
        <v>213</v>
      </c>
      <c r="AE17" s="5" t="s">
        <v>49</v>
      </c>
      <c r="AF17" s="13" t="str">
        <f ca="1">IFERROR(__xludf.DUMMYFUNCTION("REGEXREPLACE(REGEXREPLACE(O17, ""[^0-9]"", """"), ""^620"", ""62"")"),"6285175112623")</f>
        <v>6285175112623</v>
      </c>
    </row>
    <row r="18" spans="1:32" ht="135" x14ac:dyDescent="0.2">
      <c r="A18" s="8" t="s">
        <v>214</v>
      </c>
      <c r="B18" s="8"/>
      <c r="C18" s="8" t="s">
        <v>31</v>
      </c>
      <c r="D18" s="8" t="s">
        <v>32</v>
      </c>
      <c r="E18" s="8" t="s">
        <v>215</v>
      </c>
      <c r="F18" s="8" t="s">
        <v>34</v>
      </c>
      <c r="G18" s="8" t="s">
        <v>35</v>
      </c>
      <c r="H18" s="8" t="s">
        <v>36</v>
      </c>
      <c r="I18" s="8" t="s">
        <v>123</v>
      </c>
      <c r="J18" s="8" t="s">
        <v>216</v>
      </c>
      <c r="K18" s="8" t="s">
        <v>39</v>
      </c>
      <c r="L18" s="8" t="s">
        <v>40</v>
      </c>
      <c r="M18" s="8" t="s">
        <v>188</v>
      </c>
      <c r="N18" s="8"/>
      <c r="O18" s="8" t="s">
        <v>217</v>
      </c>
      <c r="P18" s="8" t="s">
        <v>218</v>
      </c>
      <c r="Q18" s="8" t="s">
        <v>219</v>
      </c>
      <c r="R18" s="9" t="s">
        <v>44</v>
      </c>
      <c r="S18" s="10" t="s">
        <v>220</v>
      </c>
      <c r="T18" s="20" t="s">
        <v>221</v>
      </c>
      <c r="U18" s="5" t="s">
        <v>74</v>
      </c>
      <c r="V18" s="5" t="b">
        <v>1</v>
      </c>
      <c r="W18" s="6" t="s">
        <v>222</v>
      </c>
      <c r="X18" s="6" t="s">
        <v>212</v>
      </c>
      <c r="Y18" s="6">
        <v>128</v>
      </c>
      <c r="Z18" s="5" t="b">
        <v>1</v>
      </c>
      <c r="AA18" s="5" t="b">
        <v>1</v>
      </c>
      <c r="AB18" s="5" t="b">
        <v>1</v>
      </c>
      <c r="AC18" s="5" t="b">
        <v>1</v>
      </c>
      <c r="AD18" s="11" t="s">
        <v>223</v>
      </c>
      <c r="AE18" s="11" t="s">
        <v>224</v>
      </c>
      <c r="AF18" s="13" t="str">
        <f ca="1">IFERROR(__xludf.DUMMYFUNCTION("REGEXREPLACE(REGEXREPLACE(O18, ""[^0-9]"", """"), ""^620"", ""62"")"),"628292023039")</f>
        <v>628292023039</v>
      </c>
    </row>
    <row r="19" spans="1:32" ht="30" x14ac:dyDescent="0.2">
      <c r="A19" s="8" t="s">
        <v>225</v>
      </c>
      <c r="B19" s="8"/>
      <c r="C19" s="8" t="s">
        <v>31</v>
      </c>
      <c r="D19" s="8" t="s">
        <v>32</v>
      </c>
      <c r="E19" s="8" t="s">
        <v>226</v>
      </c>
      <c r="F19" s="8" t="s">
        <v>34</v>
      </c>
      <c r="G19" s="8" t="s">
        <v>35</v>
      </c>
      <c r="H19" s="8" t="s">
        <v>36</v>
      </c>
      <c r="I19" s="8" t="s">
        <v>53</v>
      </c>
      <c r="J19" s="8" t="s">
        <v>227</v>
      </c>
      <c r="K19" s="8" t="s">
        <v>55</v>
      </c>
      <c r="L19" s="8" t="s">
        <v>40</v>
      </c>
      <c r="M19" s="8" t="s">
        <v>41</v>
      </c>
      <c r="N19" s="8"/>
      <c r="O19" s="8" t="s">
        <v>228</v>
      </c>
      <c r="P19" s="8" t="s">
        <v>229</v>
      </c>
      <c r="Q19" s="8" t="s">
        <v>230</v>
      </c>
      <c r="R19" s="9" t="s">
        <v>44</v>
      </c>
      <c r="S19" s="10"/>
      <c r="T19" s="20" t="s">
        <v>231</v>
      </c>
      <c r="U19" s="5" t="s">
        <v>74</v>
      </c>
      <c r="V19" s="5" t="b">
        <v>1</v>
      </c>
      <c r="W19" s="6" t="s">
        <v>89</v>
      </c>
      <c r="X19" s="6" t="s">
        <v>90</v>
      </c>
      <c r="Y19" s="6"/>
      <c r="Z19" s="5" t="b">
        <v>1</v>
      </c>
      <c r="AA19" s="5" t="b">
        <v>1</v>
      </c>
      <c r="AB19" s="6" t="s">
        <v>46</v>
      </c>
      <c r="AC19" s="5" t="b">
        <v>1</v>
      </c>
      <c r="AD19" s="11" t="s">
        <v>232</v>
      </c>
      <c r="AE19" s="5" t="s">
        <v>49</v>
      </c>
      <c r="AF19" s="13" t="str">
        <f ca="1">IFERROR(__xludf.DUMMYFUNCTION("REGEXREPLACE(REGEXREPLACE(O19, ""[^0-9]"", """"), ""^620"", ""62"")"),"6282196948244")</f>
        <v>6282196948244</v>
      </c>
    </row>
    <row r="20" spans="1:32" ht="30" x14ac:dyDescent="0.2">
      <c r="A20" s="8" t="s">
        <v>233</v>
      </c>
      <c r="B20" s="8"/>
      <c r="C20" s="8" t="s">
        <v>31</v>
      </c>
      <c r="D20" s="8" t="s">
        <v>51</v>
      </c>
      <c r="E20" s="8" t="s">
        <v>234</v>
      </c>
      <c r="F20" s="8" t="s">
        <v>34</v>
      </c>
      <c r="G20" s="8" t="s">
        <v>35</v>
      </c>
      <c r="H20" s="8" t="s">
        <v>36</v>
      </c>
      <c r="I20" s="8" t="s">
        <v>198</v>
      </c>
      <c r="J20" s="8" t="s">
        <v>235</v>
      </c>
      <c r="K20" s="8" t="s">
        <v>55</v>
      </c>
      <c r="L20" s="8" t="s">
        <v>56</v>
      </c>
      <c r="M20" s="8" t="s">
        <v>113</v>
      </c>
      <c r="N20" s="8"/>
      <c r="O20" s="8" t="s">
        <v>236</v>
      </c>
      <c r="P20" s="8"/>
      <c r="Q20" s="8" t="s">
        <v>237</v>
      </c>
      <c r="R20" s="9" t="s">
        <v>44</v>
      </c>
      <c r="S20" s="10" t="s">
        <v>238</v>
      </c>
      <c r="T20" s="11" t="s">
        <v>46</v>
      </c>
      <c r="U20" s="5" t="s">
        <v>74</v>
      </c>
      <c r="V20" s="5" t="b">
        <v>1</v>
      </c>
      <c r="W20" s="6" t="s">
        <v>239</v>
      </c>
      <c r="X20" s="6" t="s">
        <v>204</v>
      </c>
      <c r="Y20" s="6">
        <v>32</v>
      </c>
      <c r="Z20" s="5" t="b">
        <v>1</v>
      </c>
      <c r="AA20" s="5" t="b">
        <v>1</v>
      </c>
      <c r="AB20" s="5" t="b">
        <v>1</v>
      </c>
      <c r="AC20" s="5" t="b">
        <v>1</v>
      </c>
      <c r="AD20" s="11" t="s">
        <v>46</v>
      </c>
      <c r="AE20" s="5" t="s">
        <v>49</v>
      </c>
      <c r="AF20" s="13" t="str">
        <f ca="1">IFERROR(__xludf.DUMMYFUNCTION("REGEXREPLACE(REGEXREPLACE(O20, ""[^0-9]"", """"), ""^620"", ""62"")"),"6282192333862")</f>
        <v>6282192333862</v>
      </c>
    </row>
    <row r="21" spans="1:32" ht="30" x14ac:dyDescent="0.2">
      <c r="A21" s="8" t="s">
        <v>240</v>
      </c>
      <c r="B21" s="8"/>
      <c r="C21" s="8" t="s">
        <v>31</v>
      </c>
      <c r="D21" s="8" t="s">
        <v>51</v>
      </c>
      <c r="E21" s="8" t="s">
        <v>241</v>
      </c>
      <c r="F21" s="8" t="s">
        <v>34</v>
      </c>
      <c r="G21" s="8" t="s">
        <v>35</v>
      </c>
      <c r="H21" s="8" t="s">
        <v>36</v>
      </c>
      <c r="I21" s="8" t="s">
        <v>242</v>
      </c>
      <c r="J21" s="8" t="s">
        <v>243</v>
      </c>
      <c r="K21" s="8" t="s">
        <v>55</v>
      </c>
      <c r="L21" s="8" t="s">
        <v>56</v>
      </c>
      <c r="M21" s="8" t="s">
        <v>57</v>
      </c>
      <c r="N21" s="8"/>
      <c r="O21" s="8" t="s">
        <v>244</v>
      </c>
      <c r="P21" s="8"/>
      <c r="Q21" s="8" t="s">
        <v>245</v>
      </c>
      <c r="R21" s="9" t="s">
        <v>44</v>
      </c>
      <c r="S21" s="10" t="s">
        <v>238</v>
      </c>
      <c r="T21" s="11" t="s">
        <v>46</v>
      </c>
      <c r="U21" s="5" t="s">
        <v>88</v>
      </c>
      <c r="V21" s="5" t="b">
        <v>1</v>
      </c>
      <c r="W21" s="6" t="s">
        <v>173</v>
      </c>
      <c r="X21" s="6" t="s">
        <v>246</v>
      </c>
      <c r="Y21" s="6">
        <v>8</v>
      </c>
      <c r="Z21" s="6" t="s">
        <v>46</v>
      </c>
      <c r="AA21" s="5" t="b">
        <v>1</v>
      </c>
      <c r="AB21" s="6" t="s">
        <v>46</v>
      </c>
      <c r="AC21" s="6" t="s">
        <v>46</v>
      </c>
      <c r="AD21" s="11" t="s">
        <v>46</v>
      </c>
      <c r="AE21" s="5" t="s">
        <v>49</v>
      </c>
      <c r="AF21" s="13" t="str">
        <f ca="1">IFERROR(__xludf.DUMMYFUNCTION("REGEXREPLACE(REGEXREPLACE(O21, ""[^0-9]"", """"), ""^620"", ""62"")"),"6282184443089")</f>
        <v>6282184443089</v>
      </c>
    </row>
    <row r="22" spans="1:32" ht="105" x14ac:dyDescent="0.2">
      <c r="A22" s="8" t="s">
        <v>247</v>
      </c>
      <c r="B22" s="8"/>
      <c r="C22" s="8" t="s">
        <v>31</v>
      </c>
      <c r="D22" s="8" t="s">
        <v>51</v>
      </c>
      <c r="E22" s="8" t="s">
        <v>248</v>
      </c>
      <c r="F22" s="8" t="s">
        <v>34</v>
      </c>
      <c r="G22" s="8" t="s">
        <v>35</v>
      </c>
      <c r="H22" s="8" t="s">
        <v>36</v>
      </c>
      <c r="I22" s="8" t="s">
        <v>134</v>
      </c>
      <c r="J22" s="8" t="s">
        <v>249</v>
      </c>
      <c r="K22" s="8" t="s">
        <v>55</v>
      </c>
      <c r="L22" s="8" t="s">
        <v>40</v>
      </c>
      <c r="M22" s="8" t="s">
        <v>57</v>
      </c>
      <c r="N22" s="8"/>
      <c r="O22" s="8" t="s">
        <v>250</v>
      </c>
      <c r="P22" s="8"/>
      <c r="Q22" s="8" t="s">
        <v>251</v>
      </c>
      <c r="R22" s="9" t="s">
        <v>44</v>
      </c>
      <c r="S22" s="10" t="s">
        <v>252</v>
      </c>
      <c r="T22" s="20" t="s">
        <v>253</v>
      </c>
      <c r="U22" s="5" t="s">
        <v>74</v>
      </c>
      <c r="V22" s="5" t="b">
        <v>1</v>
      </c>
      <c r="W22" s="6" t="s">
        <v>254</v>
      </c>
      <c r="X22" s="6" t="s">
        <v>255</v>
      </c>
      <c r="Y22" s="6">
        <v>8</v>
      </c>
      <c r="Z22" s="5" t="b">
        <v>1</v>
      </c>
      <c r="AA22" s="5" t="b">
        <v>1</v>
      </c>
      <c r="AB22" s="5" t="b">
        <v>1</v>
      </c>
      <c r="AC22" s="5" t="b">
        <v>1</v>
      </c>
      <c r="AD22" s="11" t="s">
        <v>46</v>
      </c>
      <c r="AE22" s="5" t="s">
        <v>49</v>
      </c>
      <c r="AF22" s="13" t="str">
        <f ca="1">IFERROR(__xludf.DUMMYFUNCTION("REGEXREPLACE(REGEXREPLACE(O22, ""[^0-9]"", """"), ""^620"", ""62"")"),"6281340185035")</f>
        <v>6281340185035</v>
      </c>
    </row>
    <row r="23" spans="1:32" ht="150" x14ac:dyDescent="0.2">
      <c r="A23" s="8" t="s">
        <v>256</v>
      </c>
      <c r="B23" s="8"/>
      <c r="C23" s="8" t="s">
        <v>31</v>
      </c>
      <c r="D23" s="8" t="s">
        <v>51</v>
      </c>
      <c r="E23" s="8" t="s">
        <v>257</v>
      </c>
      <c r="F23" s="8" t="s">
        <v>34</v>
      </c>
      <c r="G23" s="8" t="s">
        <v>35</v>
      </c>
      <c r="H23" s="8" t="s">
        <v>36</v>
      </c>
      <c r="I23" s="8" t="s">
        <v>242</v>
      </c>
      <c r="J23" s="8" t="s">
        <v>258</v>
      </c>
      <c r="K23" s="8" t="s">
        <v>39</v>
      </c>
      <c r="L23" s="8" t="s">
        <v>40</v>
      </c>
      <c r="M23" s="8" t="s">
        <v>67</v>
      </c>
      <c r="N23" s="8" t="s">
        <v>259</v>
      </c>
      <c r="O23" s="8" t="s">
        <v>260</v>
      </c>
      <c r="P23" s="8" t="s">
        <v>261</v>
      </c>
      <c r="Q23" s="8" t="s">
        <v>262</v>
      </c>
      <c r="R23" s="9" t="s">
        <v>44</v>
      </c>
      <c r="S23" s="10" t="s">
        <v>263</v>
      </c>
      <c r="T23" s="11" t="s">
        <v>264</v>
      </c>
      <c r="U23" s="5" t="s">
        <v>74</v>
      </c>
      <c r="V23" s="5" t="b">
        <v>1</v>
      </c>
      <c r="W23" s="21" t="s">
        <v>265</v>
      </c>
      <c r="X23" s="6" t="s">
        <v>266</v>
      </c>
      <c r="Y23" s="6"/>
      <c r="Z23" s="5" t="b">
        <v>1</v>
      </c>
      <c r="AA23" s="5" t="b">
        <v>1</v>
      </c>
      <c r="AB23" s="5" t="b">
        <v>1</v>
      </c>
      <c r="AC23" s="5" t="b">
        <v>1</v>
      </c>
      <c r="AD23" s="11" t="s">
        <v>267</v>
      </c>
      <c r="AE23" s="5" t="s">
        <v>268</v>
      </c>
      <c r="AF23" s="13" t="str">
        <f ca="1">IFERROR(__xludf.DUMMYFUNCTION("REGEXREPLACE(REGEXREPLACE(O23, ""[^0-9]"", """"), ""^620"", ""62"")"),"6282344906042")</f>
        <v>6282344906042</v>
      </c>
    </row>
    <row r="24" spans="1:32" ht="90" x14ac:dyDescent="0.2">
      <c r="A24" s="8" t="s">
        <v>269</v>
      </c>
      <c r="B24" s="8"/>
      <c r="C24" s="8" t="s">
        <v>31</v>
      </c>
      <c r="D24" s="8" t="s">
        <v>51</v>
      </c>
      <c r="E24" s="8" t="s">
        <v>206</v>
      </c>
      <c r="F24" s="8" t="s">
        <v>34</v>
      </c>
      <c r="G24" s="8" t="s">
        <v>35</v>
      </c>
      <c r="H24" s="8" t="s">
        <v>36</v>
      </c>
      <c r="I24" s="8" t="s">
        <v>37</v>
      </c>
      <c r="J24" s="8" t="s">
        <v>270</v>
      </c>
      <c r="K24" s="8" t="s">
        <v>55</v>
      </c>
      <c r="L24" s="8" t="s">
        <v>56</v>
      </c>
      <c r="M24" s="8" t="s">
        <v>57</v>
      </c>
      <c r="N24" s="8"/>
      <c r="O24" s="8" t="s">
        <v>271</v>
      </c>
      <c r="P24" s="8" t="s">
        <v>272</v>
      </c>
      <c r="Q24" s="8" t="s">
        <v>273</v>
      </c>
      <c r="R24" s="9" t="s">
        <v>85</v>
      </c>
      <c r="S24" s="10" t="s">
        <v>274</v>
      </c>
      <c r="T24" s="11" t="s">
        <v>275</v>
      </c>
      <c r="U24" s="5" t="s">
        <v>74</v>
      </c>
      <c r="V24" s="5" t="b">
        <v>1</v>
      </c>
      <c r="W24" s="6" t="s">
        <v>276</v>
      </c>
      <c r="X24" s="6" t="s">
        <v>204</v>
      </c>
      <c r="Y24" s="6"/>
      <c r="Z24" s="5" t="b">
        <v>1</v>
      </c>
      <c r="AA24" s="5" t="b">
        <v>1</v>
      </c>
      <c r="AB24" s="5" t="b">
        <v>1</v>
      </c>
      <c r="AC24" s="5" t="b">
        <v>1</v>
      </c>
      <c r="AD24" s="11" t="s">
        <v>277</v>
      </c>
      <c r="AE24" s="5" t="s">
        <v>49</v>
      </c>
      <c r="AF24" s="13" t="str">
        <f ca="1">IFERROR(__xludf.DUMMYFUNCTION("REGEXREPLACE(REGEXREPLACE(O24, ""[^0-9]"", """"), ""^620"", ""62"")"),"6285348660446")</f>
        <v>6285348660446</v>
      </c>
    </row>
    <row r="25" spans="1:32" ht="75" x14ac:dyDescent="0.2">
      <c r="A25" s="8" t="s">
        <v>278</v>
      </c>
      <c r="B25" s="8"/>
      <c r="C25" s="8" t="s">
        <v>31</v>
      </c>
      <c r="D25" s="8" t="s">
        <v>51</v>
      </c>
      <c r="E25" s="8" t="s">
        <v>279</v>
      </c>
      <c r="F25" s="8" t="s">
        <v>34</v>
      </c>
      <c r="G25" s="8" t="s">
        <v>35</v>
      </c>
      <c r="H25" s="8" t="s">
        <v>36</v>
      </c>
      <c r="I25" s="8" t="s">
        <v>242</v>
      </c>
      <c r="J25" s="8" t="s">
        <v>280</v>
      </c>
      <c r="K25" s="8" t="s">
        <v>39</v>
      </c>
      <c r="L25" s="8" t="s">
        <v>56</v>
      </c>
      <c r="M25" s="8" t="s">
        <v>113</v>
      </c>
      <c r="N25" s="8"/>
      <c r="O25" s="8" t="s">
        <v>281</v>
      </c>
      <c r="P25" s="8"/>
      <c r="Q25" s="8" t="s">
        <v>282</v>
      </c>
      <c r="R25" s="9" t="s">
        <v>44</v>
      </c>
      <c r="S25" s="10" t="s">
        <v>283</v>
      </c>
      <c r="T25" s="11" t="s">
        <v>46</v>
      </c>
      <c r="U25" s="5" t="s">
        <v>74</v>
      </c>
      <c r="V25" s="5" t="b">
        <v>1</v>
      </c>
      <c r="W25" s="6" t="s">
        <v>284</v>
      </c>
      <c r="X25" s="6" t="s">
        <v>285</v>
      </c>
      <c r="Y25" s="6">
        <v>8</v>
      </c>
      <c r="Z25" s="5" t="b">
        <v>1</v>
      </c>
      <c r="AA25" s="5" t="b">
        <v>1</v>
      </c>
      <c r="AB25" s="5" t="b">
        <v>1</v>
      </c>
      <c r="AC25" s="5" t="b">
        <v>1</v>
      </c>
      <c r="AD25" s="11" t="s">
        <v>48</v>
      </c>
      <c r="AE25" s="5" t="s">
        <v>49</v>
      </c>
      <c r="AF25" s="13" t="str">
        <f ca="1">IFERROR(__xludf.DUMMYFUNCTION("REGEXREPLACE(REGEXREPLACE(O25, ""[^0-9]"", """"), ""^620"", ""62"")"),"6287724757615")</f>
        <v>6287724757615</v>
      </c>
    </row>
    <row r="26" spans="1:32" x14ac:dyDescent="0.2">
      <c r="A26" s="8" t="s">
        <v>286</v>
      </c>
      <c r="B26" s="8"/>
      <c r="C26" s="8" t="s">
        <v>31</v>
      </c>
      <c r="D26" s="8" t="s">
        <v>51</v>
      </c>
      <c r="E26" s="8" t="s">
        <v>287</v>
      </c>
      <c r="F26" s="8" t="s">
        <v>34</v>
      </c>
      <c r="G26" s="8" t="s">
        <v>35</v>
      </c>
      <c r="H26" s="8" t="s">
        <v>36</v>
      </c>
      <c r="I26" s="8" t="s">
        <v>53</v>
      </c>
      <c r="J26" s="8" t="s">
        <v>288</v>
      </c>
      <c r="K26" s="8" t="s">
        <v>39</v>
      </c>
      <c r="L26" s="8" t="s">
        <v>40</v>
      </c>
      <c r="M26" s="8" t="s">
        <v>67</v>
      </c>
      <c r="N26" s="8" t="s">
        <v>289</v>
      </c>
      <c r="O26" s="8" t="s">
        <v>290</v>
      </c>
      <c r="P26" s="8" t="s">
        <v>291</v>
      </c>
      <c r="Q26" s="8" t="s">
        <v>292</v>
      </c>
      <c r="R26" s="9" t="s">
        <v>85</v>
      </c>
      <c r="S26" s="10"/>
      <c r="T26" s="11" t="s">
        <v>73</v>
      </c>
      <c r="U26" s="5" t="s">
        <v>74</v>
      </c>
      <c r="V26" s="5" t="b">
        <v>1</v>
      </c>
      <c r="W26" s="6" t="s">
        <v>293</v>
      </c>
      <c r="X26" s="6" t="s">
        <v>294</v>
      </c>
      <c r="Y26" s="6">
        <v>4</v>
      </c>
      <c r="Z26" s="5" t="b">
        <v>1</v>
      </c>
      <c r="AA26" s="5" t="b">
        <v>1</v>
      </c>
      <c r="AB26" s="5" t="b">
        <v>1</v>
      </c>
      <c r="AC26" s="5" t="b">
        <v>1</v>
      </c>
      <c r="AD26" s="11" t="s">
        <v>73</v>
      </c>
      <c r="AE26" s="5" t="s">
        <v>49</v>
      </c>
      <c r="AF26" s="13" t="str">
        <f ca="1">IFERROR(__xludf.DUMMYFUNCTION("REGEXREPLACE(REGEXREPLACE(O26, ""[^0-9]"", """"), ""^620"", ""62"")"),"6281235306161")</f>
        <v>6281235306161</v>
      </c>
    </row>
    <row r="27" spans="1:32" ht="30" x14ac:dyDescent="0.2">
      <c r="A27" s="8" t="s">
        <v>295</v>
      </c>
      <c r="B27" s="8"/>
      <c r="C27" s="8" t="s">
        <v>31</v>
      </c>
      <c r="D27" s="8" t="s">
        <v>51</v>
      </c>
      <c r="E27" s="8" t="s">
        <v>296</v>
      </c>
      <c r="F27" s="8" t="s">
        <v>34</v>
      </c>
      <c r="G27" s="8" t="s">
        <v>35</v>
      </c>
      <c r="H27" s="8" t="s">
        <v>36</v>
      </c>
      <c r="I27" s="8" t="s">
        <v>297</v>
      </c>
      <c r="J27" s="8" t="s">
        <v>298</v>
      </c>
      <c r="K27" s="8" t="s">
        <v>39</v>
      </c>
      <c r="L27" s="8" t="s">
        <v>56</v>
      </c>
      <c r="M27" s="8" t="s">
        <v>188</v>
      </c>
      <c r="N27" s="8"/>
      <c r="O27" s="8" t="s">
        <v>299</v>
      </c>
      <c r="P27" s="8"/>
      <c r="Q27" s="8" t="s">
        <v>300</v>
      </c>
      <c r="R27" s="9" t="s">
        <v>44</v>
      </c>
      <c r="S27" s="10" t="s">
        <v>238</v>
      </c>
      <c r="T27" s="11" t="s">
        <v>46</v>
      </c>
      <c r="U27" s="5" t="s">
        <v>74</v>
      </c>
      <c r="V27" s="5" t="b">
        <v>1</v>
      </c>
      <c r="W27" s="6" t="s">
        <v>301</v>
      </c>
      <c r="X27" s="6" t="s">
        <v>204</v>
      </c>
      <c r="Y27" s="6">
        <v>8</v>
      </c>
      <c r="Z27" s="5" t="b">
        <v>1</v>
      </c>
      <c r="AA27" s="5" t="b">
        <v>1</v>
      </c>
      <c r="AB27" s="6" t="s">
        <v>46</v>
      </c>
      <c r="AC27" s="5" t="b">
        <v>1</v>
      </c>
      <c r="AD27" s="11" t="s">
        <v>46</v>
      </c>
      <c r="AE27" s="5" t="s">
        <v>49</v>
      </c>
      <c r="AF27" s="13" t="str">
        <f ca="1">IFERROR(__xludf.DUMMYFUNCTION("REGEXREPLACE(REGEXREPLACE(O27, ""[^0-9]"", """"), ""^620"", ""62"")"),"6282194683473")</f>
        <v>6282194683473</v>
      </c>
    </row>
    <row r="28" spans="1:32" ht="75" x14ac:dyDescent="0.2">
      <c r="A28" s="8" t="s">
        <v>302</v>
      </c>
      <c r="B28" s="8"/>
      <c r="C28" s="8" t="s">
        <v>31</v>
      </c>
      <c r="D28" s="8" t="s">
        <v>51</v>
      </c>
      <c r="E28" s="8" t="s">
        <v>303</v>
      </c>
      <c r="F28" s="8" t="s">
        <v>34</v>
      </c>
      <c r="G28" s="8" t="s">
        <v>35</v>
      </c>
      <c r="H28" s="8" t="s">
        <v>36</v>
      </c>
      <c r="I28" s="8" t="s">
        <v>242</v>
      </c>
      <c r="J28" s="8" t="s">
        <v>304</v>
      </c>
      <c r="K28" s="8" t="s">
        <v>39</v>
      </c>
      <c r="L28" s="8" t="s">
        <v>40</v>
      </c>
      <c r="M28" s="8" t="s">
        <v>41</v>
      </c>
      <c r="N28" s="8"/>
      <c r="O28" s="8" t="s">
        <v>305</v>
      </c>
      <c r="P28" s="8" t="s">
        <v>306</v>
      </c>
      <c r="Q28" s="8" t="s">
        <v>307</v>
      </c>
      <c r="R28" s="9" t="s">
        <v>44</v>
      </c>
      <c r="S28" s="10" t="s">
        <v>308</v>
      </c>
      <c r="T28" s="11" t="s">
        <v>309</v>
      </c>
      <c r="U28" s="5" t="s">
        <v>74</v>
      </c>
      <c r="V28" s="5" t="b">
        <v>1</v>
      </c>
      <c r="W28" s="6" t="s">
        <v>310</v>
      </c>
      <c r="X28" s="6" t="s">
        <v>204</v>
      </c>
      <c r="Y28" s="6"/>
      <c r="Z28" s="5" t="b">
        <v>1</v>
      </c>
      <c r="AA28" s="5" t="b">
        <v>1</v>
      </c>
      <c r="AB28" s="6" t="s">
        <v>46</v>
      </c>
      <c r="AC28" s="5" t="b">
        <v>1</v>
      </c>
      <c r="AD28" s="11" t="s">
        <v>311</v>
      </c>
      <c r="AE28" s="5" t="s">
        <v>49</v>
      </c>
      <c r="AF28" s="13" t="str">
        <f ca="1">IFERROR(__xludf.DUMMYFUNCTION("REGEXREPLACE(REGEXREPLACE(O28, ""[^0-9]"", """"), ""^620"", ""62"")"),"6282239901533")</f>
        <v>6282239901533</v>
      </c>
    </row>
    <row r="29" spans="1:32" ht="45" x14ac:dyDescent="0.2">
      <c r="A29" s="8" t="s">
        <v>312</v>
      </c>
      <c r="B29" s="8"/>
      <c r="C29" s="8" t="s">
        <v>31</v>
      </c>
      <c r="D29" s="8" t="s">
        <v>51</v>
      </c>
      <c r="E29" s="8" t="s">
        <v>313</v>
      </c>
      <c r="F29" s="8" t="s">
        <v>34</v>
      </c>
      <c r="G29" s="8" t="s">
        <v>35</v>
      </c>
      <c r="H29" s="8" t="s">
        <v>36</v>
      </c>
      <c r="I29" s="8" t="s">
        <v>297</v>
      </c>
      <c r="J29" s="8" t="s">
        <v>314</v>
      </c>
      <c r="K29" s="8" t="s">
        <v>39</v>
      </c>
      <c r="L29" s="8" t="s">
        <v>56</v>
      </c>
      <c r="M29" s="8" t="s">
        <v>188</v>
      </c>
      <c r="N29" s="8"/>
      <c r="O29" s="8" t="s">
        <v>315</v>
      </c>
      <c r="P29" s="8" t="s">
        <v>316</v>
      </c>
      <c r="Q29" s="8" t="s">
        <v>317</v>
      </c>
      <c r="R29" s="9" t="s">
        <v>85</v>
      </c>
      <c r="S29" s="10" t="s">
        <v>318</v>
      </c>
      <c r="T29" s="11" t="s">
        <v>319</v>
      </c>
      <c r="U29" s="5" t="s">
        <v>74</v>
      </c>
      <c r="V29" s="5" t="b">
        <v>1</v>
      </c>
      <c r="W29" s="6" t="s">
        <v>320</v>
      </c>
      <c r="X29" s="6" t="s">
        <v>212</v>
      </c>
      <c r="Y29" s="6"/>
      <c r="Z29" s="5" t="b">
        <v>1</v>
      </c>
      <c r="AA29" s="5" t="b">
        <v>1</v>
      </c>
      <c r="AB29" s="6" t="s">
        <v>46</v>
      </c>
      <c r="AC29" s="6" t="s">
        <v>46</v>
      </c>
      <c r="AD29" s="11" t="s">
        <v>321</v>
      </c>
      <c r="AE29" s="5" t="s">
        <v>49</v>
      </c>
      <c r="AF29" s="13" t="str">
        <f ca="1">IFERROR(__xludf.DUMMYFUNCTION("REGEXREPLACE(REGEXREPLACE(O29, ""[^0-9]"", """"), ""^620"", ""62"")"),"6285256405855")</f>
        <v>6285256405855</v>
      </c>
    </row>
    <row r="30" spans="1:32" ht="90" x14ac:dyDescent="0.2">
      <c r="A30" s="8" t="s">
        <v>322</v>
      </c>
      <c r="B30" s="8"/>
      <c r="C30" s="8" t="s">
        <v>31</v>
      </c>
      <c r="D30" s="8" t="s">
        <v>51</v>
      </c>
      <c r="E30" s="8" t="s">
        <v>323</v>
      </c>
      <c r="F30" s="8" t="s">
        <v>34</v>
      </c>
      <c r="G30" s="8" t="s">
        <v>35</v>
      </c>
      <c r="H30" s="8" t="s">
        <v>36</v>
      </c>
      <c r="I30" s="8" t="s">
        <v>134</v>
      </c>
      <c r="J30" s="8" t="s">
        <v>324</v>
      </c>
      <c r="K30" s="8" t="s">
        <v>39</v>
      </c>
      <c r="L30" s="8" t="s">
        <v>40</v>
      </c>
      <c r="M30" s="8" t="s">
        <v>57</v>
      </c>
      <c r="N30" s="8"/>
      <c r="O30" s="8" t="s">
        <v>325</v>
      </c>
      <c r="P30" s="8" t="s">
        <v>326</v>
      </c>
      <c r="Q30" s="8" t="s">
        <v>327</v>
      </c>
      <c r="R30" s="9" t="s">
        <v>44</v>
      </c>
      <c r="S30" s="10" t="s">
        <v>328</v>
      </c>
      <c r="T30" s="11" t="s">
        <v>329</v>
      </c>
      <c r="U30" s="5" t="s">
        <v>74</v>
      </c>
      <c r="V30" s="5" t="b">
        <v>1</v>
      </c>
      <c r="W30" s="6" t="s">
        <v>173</v>
      </c>
      <c r="X30" s="6" t="s">
        <v>330</v>
      </c>
      <c r="Y30" s="6">
        <v>8</v>
      </c>
      <c r="Z30" s="5" t="b">
        <v>1</v>
      </c>
      <c r="AA30" s="5" t="b">
        <v>1</v>
      </c>
      <c r="AB30" s="5" t="b">
        <v>1</v>
      </c>
      <c r="AC30" s="5" t="b">
        <v>1</v>
      </c>
      <c r="AD30" s="11" t="s">
        <v>331</v>
      </c>
      <c r="AE30" s="11" t="s">
        <v>332</v>
      </c>
      <c r="AF30" s="13" t="str">
        <f ca="1">IFERROR(__xludf.DUMMYFUNCTION("REGEXREPLACE(REGEXREPLACE(O30, ""[^0-9]"", """"), ""^620"", ""62"")"),"6282399777329")</f>
        <v>6282399777329</v>
      </c>
    </row>
    <row r="31" spans="1:32" ht="60" x14ac:dyDescent="0.2">
      <c r="A31" s="8" t="s">
        <v>333</v>
      </c>
      <c r="B31" s="8"/>
      <c r="C31" s="8" t="s">
        <v>31</v>
      </c>
      <c r="D31" s="8" t="s">
        <v>51</v>
      </c>
      <c r="E31" s="8" t="s">
        <v>334</v>
      </c>
      <c r="F31" s="8" t="s">
        <v>34</v>
      </c>
      <c r="G31" s="8" t="s">
        <v>35</v>
      </c>
      <c r="H31" s="8" t="s">
        <v>36</v>
      </c>
      <c r="I31" s="8" t="s">
        <v>53</v>
      </c>
      <c r="J31" s="8" t="s">
        <v>335</v>
      </c>
      <c r="K31" s="8" t="s">
        <v>39</v>
      </c>
      <c r="L31" s="8" t="s">
        <v>40</v>
      </c>
      <c r="M31" s="8" t="s">
        <v>336</v>
      </c>
      <c r="N31" s="8"/>
      <c r="O31" s="8" t="s">
        <v>337</v>
      </c>
      <c r="P31" s="8" t="s">
        <v>338</v>
      </c>
      <c r="Q31" s="8" t="s">
        <v>339</v>
      </c>
      <c r="R31" s="9" t="s">
        <v>44</v>
      </c>
      <c r="S31" s="10" t="s">
        <v>340</v>
      </c>
      <c r="T31" s="11" t="s">
        <v>341</v>
      </c>
      <c r="U31" s="5" t="s">
        <v>342</v>
      </c>
      <c r="V31" s="5" t="b">
        <v>1</v>
      </c>
      <c r="W31" s="6" t="s">
        <v>343</v>
      </c>
      <c r="X31" s="6" t="s">
        <v>212</v>
      </c>
      <c r="Y31" s="6">
        <v>6</v>
      </c>
      <c r="Z31" s="5" t="b">
        <v>1</v>
      </c>
      <c r="AA31" s="5" t="b">
        <v>1</v>
      </c>
      <c r="AB31" s="6" t="s">
        <v>46</v>
      </c>
      <c r="AC31" s="5" t="b">
        <v>1</v>
      </c>
      <c r="AD31" s="11" t="s">
        <v>344</v>
      </c>
      <c r="AE31" s="5" t="s">
        <v>49</v>
      </c>
      <c r="AF31" s="13" t="str">
        <f ca="1">IFERROR(__xludf.DUMMYFUNCTION("REGEXREPLACE(REGEXREPLACE(O31, ""[^0-9]"", """"), ""^620"", ""62"")"),"6281341364010")</f>
        <v>6281341364010</v>
      </c>
    </row>
    <row r="32" spans="1:32" ht="60" x14ac:dyDescent="0.2">
      <c r="A32" s="8" t="s">
        <v>345</v>
      </c>
      <c r="B32" s="8"/>
      <c r="C32" s="8" t="s">
        <v>31</v>
      </c>
      <c r="D32" s="8" t="s">
        <v>51</v>
      </c>
      <c r="E32" s="8" t="s">
        <v>346</v>
      </c>
      <c r="F32" s="8" t="s">
        <v>34</v>
      </c>
      <c r="G32" s="8" t="s">
        <v>35</v>
      </c>
      <c r="H32" s="8" t="s">
        <v>36</v>
      </c>
      <c r="I32" s="8" t="s">
        <v>242</v>
      </c>
      <c r="J32" s="8" t="s">
        <v>347</v>
      </c>
      <c r="K32" s="8" t="s">
        <v>39</v>
      </c>
      <c r="L32" s="8" t="s">
        <v>40</v>
      </c>
      <c r="M32" s="8" t="s">
        <v>67</v>
      </c>
      <c r="N32" s="8" t="s">
        <v>159</v>
      </c>
      <c r="O32" s="8" t="s">
        <v>348</v>
      </c>
      <c r="P32" s="8"/>
      <c r="Q32" s="8" t="s">
        <v>349</v>
      </c>
      <c r="R32" s="9" t="s">
        <v>44</v>
      </c>
      <c r="S32" s="10" t="s">
        <v>350</v>
      </c>
      <c r="T32" s="11" t="s">
        <v>46</v>
      </c>
      <c r="U32" s="5" t="s">
        <v>74</v>
      </c>
      <c r="V32" s="5" t="b">
        <v>1</v>
      </c>
      <c r="W32" s="6" t="s">
        <v>351</v>
      </c>
      <c r="X32" s="6" t="s">
        <v>204</v>
      </c>
      <c r="Y32" s="6"/>
      <c r="Z32" s="5" t="b">
        <v>1</v>
      </c>
      <c r="AA32" s="5" t="b">
        <v>1</v>
      </c>
      <c r="AB32" s="5" t="b">
        <v>1</v>
      </c>
      <c r="AC32" s="5" t="b">
        <v>1</v>
      </c>
      <c r="AD32" s="11" t="s">
        <v>48</v>
      </c>
      <c r="AE32" s="11" t="s">
        <v>352</v>
      </c>
      <c r="AF32" s="13" t="str">
        <f ca="1">IFERROR(__xludf.DUMMYFUNCTION("REGEXREPLACE(REGEXREPLACE(O32, ""[^0-9]"", """"), ""^620"", ""62"")"),"6285397233743")</f>
        <v>6285397233743</v>
      </c>
    </row>
    <row r="33" spans="1:32" ht="300" x14ac:dyDescent="0.2">
      <c r="A33" s="8" t="s">
        <v>353</v>
      </c>
      <c r="B33" s="8"/>
      <c r="C33" s="8" t="s">
        <v>31</v>
      </c>
      <c r="D33" s="8" t="s">
        <v>51</v>
      </c>
      <c r="E33" s="8" t="s">
        <v>354</v>
      </c>
      <c r="F33" s="8" t="s">
        <v>34</v>
      </c>
      <c r="G33" s="8" t="s">
        <v>35</v>
      </c>
      <c r="H33" s="8" t="s">
        <v>36</v>
      </c>
      <c r="I33" s="8" t="s">
        <v>177</v>
      </c>
      <c r="J33" s="8" t="s">
        <v>355</v>
      </c>
      <c r="K33" s="8" t="s">
        <v>55</v>
      </c>
      <c r="L33" s="8" t="s">
        <v>95</v>
      </c>
      <c r="M33" s="8" t="s">
        <v>57</v>
      </c>
      <c r="N33" s="8"/>
      <c r="O33" s="8" t="s">
        <v>356</v>
      </c>
      <c r="P33" s="8" t="s">
        <v>357</v>
      </c>
      <c r="Q33" s="8" t="s">
        <v>358</v>
      </c>
      <c r="R33" s="9" t="s">
        <v>85</v>
      </c>
      <c r="S33" s="10"/>
      <c r="T33" s="11" t="s">
        <v>73</v>
      </c>
      <c r="U33" s="5" t="s">
        <v>74</v>
      </c>
      <c r="V33" s="5" t="b">
        <v>1</v>
      </c>
      <c r="W33" s="6" t="s">
        <v>359</v>
      </c>
      <c r="X33" s="6" t="s">
        <v>360</v>
      </c>
      <c r="Y33" s="6"/>
      <c r="Z33" s="5" t="b">
        <v>1</v>
      </c>
      <c r="AA33" s="5" t="b">
        <v>1</v>
      </c>
      <c r="AB33" s="5" t="b">
        <v>1</v>
      </c>
      <c r="AC33" s="5" t="b">
        <v>1</v>
      </c>
      <c r="AD33" s="11" t="s">
        <v>361</v>
      </c>
      <c r="AE33" s="11" t="s">
        <v>362</v>
      </c>
      <c r="AF33" s="13" t="str">
        <f ca="1">IFERROR(__xludf.DUMMYFUNCTION("REGEXREPLACE(REGEXREPLACE(O33, ""[^0-9]"", """"), ""^620"", ""62"")"),"6282393342262")</f>
        <v>6282393342262</v>
      </c>
    </row>
    <row r="34" spans="1:32" ht="45" x14ac:dyDescent="0.2">
      <c r="A34" s="8" t="s">
        <v>363</v>
      </c>
      <c r="B34" s="8"/>
      <c r="C34" s="8" t="s">
        <v>31</v>
      </c>
      <c r="D34" s="8" t="s">
        <v>51</v>
      </c>
      <c r="E34" s="8" t="s">
        <v>364</v>
      </c>
      <c r="F34" s="8" t="s">
        <v>34</v>
      </c>
      <c r="G34" s="8" t="s">
        <v>35</v>
      </c>
      <c r="H34" s="8" t="s">
        <v>36</v>
      </c>
      <c r="I34" s="8" t="s">
        <v>157</v>
      </c>
      <c r="J34" s="8" t="s">
        <v>365</v>
      </c>
      <c r="K34" s="8" t="s">
        <v>55</v>
      </c>
      <c r="L34" s="8" t="s">
        <v>40</v>
      </c>
      <c r="M34" s="8" t="s">
        <v>336</v>
      </c>
      <c r="N34" s="8"/>
      <c r="O34" s="8" t="s">
        <v>366</v>
      </c>
      <c r="P34" s="8" t="s">
        <v>367</v>
      </c>
      <c r="Q34" s="8" t="s">
        <v>368</v>
      </c>
      <c r="R34" s="9" t="s">
        <v>44</v>
      </c>
      <c r="S34" s="10" t="s">
        <v>369</v>
      </c>
      <c r="T34" s="11" t="s">
        <v>73</v>
      </c>
      <c r="U34" s="5" t="s">
        <v>74</v>
      </c>
      <c r="V34" s="5" t="b">
        <v>1</v>
      </c>
      <c r="W34" s="6" t="s">
        <v>173</v>
      </c>
      <c r="X34" s="6" t="s">
        <v>370</v>
      </c>
      <c r="Y34" s="6"/>
      <c r="Z34" s="5" t="b">
        <v>1</v>
      </c>
      <c r="AA34" s="5" t="b">
        <v>1</v>
      </c>
      <c r="AB34" s="5" t="b">
        <v>1</v>
      </c>
      <c r="AC34" s="5" t="b">
        <v>1</v>
      </c>
      <c r="AD34" s="11" t="s">
        <v>73</v>
      </c>
      <c r="AE34" s="5" t="s">
        <v>49</v>
      </c>
      <c r="AF34" s="13" t="str">
        <f ca="1">IFERROR(__xludf.DUMMYFUNCTION("REGEXREPLACE(REGEXREPLACE(O34, ""[^0-9]"", """"), ""^620"", ""62"")"),"6285395862762")</f>
        <v>6285395862762</v>
      </c>
    </row>
    <row r="35" spans="1:32" ht="150" x14ac:dyDescent="0.2">
      <c r="A35" s="8" t="s">
        <v>371</v>
      </c>
      <c r="B35" s="8"/>
      <c r="C35" s="8" t="s">
        <v>31</v>
      </c>
      <c r="D35" s="8" t="s">
        <v>51</v>
      </c>
      <c r="E35" s="8" t="s">
        <v>372</v>
      </c>
      <c r="F35" s="8" t="s">
        <v>34</v>
      </c>
      <c r="G35" s="8" t="s">
        <v>35</v>
      </c>
      <c r="H35" s="8" t="s">
        <v>36</v>
      </c>
      <c r="I35" s="8" t="s">
        <v>198</v>
      </c>
      <c r="J35" s="8" t="s">
        <v>373</v>
      </c>
      <c r="K35" s="8" t="s">
        <v>39</v>
      </c>
      <c r="L35" s="8" t="s">
        <v>40</v>
      </c>
      <c r="M35" s="8" t="s">
        <v>41</v>
      </c>
      <c r="N35" s="8"/>
      <c r="O35" s="8" t="s">
        <v>374</v>
      </c>
      <c r="P35" s="8" t="s">
        <v>375</v>
      </c>
      <c r="Q35" s="8" t="s">
        <v>376</v>
      </c>
      <c r="R35" s="9" t="s">
        <v>44</v>
      </c>
      <c r="S35" s="10" t="s">
        <v>377</v>
      </c>
      <c r="T35" s="11" t="s">
        <v>378</v>
      </c>
      <c r="U35" s="5" t="s">
        <v>74</v>
      </c>
      <c r="V35" s="5" t="b">
        <v>1</v>
      </c>
      <c r="W35" s="6" t="s">
        <v>379</v>
      </c>
      <c r="X35" s="6" t="s">
        <v>108</v>
      </c>
      <c r="Y35" s="6"/>
      <c r="Z35" s="5" t="b">
        <v>1</v>
      </c>
      <c r="AA35" s="5" t="b">
        <v>1</v>
      </c>
      <c r="AB35" s="5" t="b">
        <v>1</v>
      </c>
      <c r="AC35" s="5" t="b">
        <v>1</v>
      </c>
      <c r="AD35" s="11" t="s">
        <v>380</v>
      </c>
      <c r="AE35" s="5" t="s">
        <v>49</v>
      </c>
      <c r="AF35" s="13" t="str">
        <f ca="1">IFERROR(__xludf.DUMMYFUNCTION("REGEXREPLACE(REGEXREPLACE(O35, ""[^0-9]"", """"), ""^620"", ""62"")"),"6282319500288")</f>
        <v>6282319500288</v>
      </c>
    </row>
    <row r="36" spans="1:32" ht="90" x14ac:dyDescent="0.2">
      <c r="A36" s="8" t="s">
        <v>381</v>
      </c>
      <c r="B36" s="8"/>
      <c r="C36" s="8" t="s">
        <v>31</v>
      </c>
      <c r="D36" s="8" t="s">
        <v>51</v>
      </c>
      <c r="E36" s="8" t="s">
        <v>382</v>
      </c>
      <c r="F36" s="8" t="s">
        <v>34</v>
      </c>
      <c r="G36" s="8" t="s">
        <v>35</v>
      </c>
      <c r="H36" s="8" t="s">
        <v>36</v>
      </c>
      <c r="I36" s="8" t="s">
        <v>37</v>
      </c>
      <c r="J36" s="8" t="s">
        <v>383</v>
      </c>
      <c r="K36" s="8" t="s">
        <v>39</v>
      </c>
      <c r="L36" s="8" t="s">
        <v>56</v>
      </c>
      <c r="M36" s="8" t="s">
        <v>336</v>
      </c>
      <c r="N36" s="8"/>
      <c r="O36" s="8" t="s">
        <v>384</v>
      </c>
      <c r="P36" s="8" t="s">
        <v>385</v>
      </c>
      <c r="Q36" s="8" t="s">
        <v>386</v>
      </c>
      <c r="R36" s="9" t="s">
        <v>44</v>
      </c>
      <c r="S36" s="10" t="s">
        <v>369</v>
      </c>
      <c r="T36" s="11" t="s">
        <v>387</v>
      </c>
      <c r="U36" s="5"/>
      <c r="V36" s="5" t="b">
        <v>1</v>
      </c>
      <c r="W36" s="6" t="s">
        <v>388</v>
      </c>
      <c r="X36" s="6" t="s">
        <v>389</v>
      </c>
      <c r="Y36" s="6"/>
      <c r="Z36" s="5" t="b">
        <v>1</v>
      </c>
      <c r="AA36" s="5" t="b">
        <v>1</v>
      </c>
      <c r="AB36" s="6" t="s">
        <v>46</v>
      </c>
      <c r="AC36" s="5" t="b">
        <v>1</v>
      </c>
      <c r="AD36" s="11" t="s">
        <v>390</v>
      </c>
      <c r="AE36" s="5" t="s">
        <v>391</v>
      </c>
      <c r="AF36" s="13" t="str">
        <f ca="1">IFERROR(__xludf.DUMMYFUNCTION("REGEXREPLACE(REGEXREPLACE(O36, ""[^0-9]"", """"), ""^620"", ""62"")"),"6282196947867")</f>
        <v>6282196947867</v>
      </c>
    </row>
    <row r="37" spans="1:32" ht="328" x14ac:dyDescent="0.2">
      <c r="A37" s="8" t="s">
        <v>392</v>
      </c>
      <c r="B37" s="8"/>
      <c r="C37" s="8" t="s">
        <v>31</v>
      </c>
      <c r="D37" s="8" t="s">
        <v>51</v>
      </c>
      <c r="E37" s="8" t="s">
        <v>393</v>
      </c>
      <c r="F37" s="8" t="s">
        <v>34</v>
      </c>
      <c r="G37" s="8" t="s">
        <v>35</v>
      </c>
      <c r="H37" s="8" t="s">
        <v>36</v>
      </c>
      <c r="I37" s="8" t="s">
        <v>242</v>
      </c>
      <c r="J37" s="8" t="s">
        <v>394</v>
      </c>
      <c r="K37" s="8" t="s">
        <v>39</v>
      </c>
      <c r="L37" s="8" t="s">
        <v>40</v>
      </c>
      <c r="M37" s="8" t="s">
        <v>67</v>
      </c>
      <c r="N37" s="8" t="s">
        <v>395</v>
      </c>
      <c r="O37" s="8" t="s">
        <v>396</v>
      </c>
      <c r="P37" s="8" t="s">
        <v>397</v>
      </c>
      <c r="Q37" s="8" t="s">
        <v>398</v>
      </c>
      <c r="R37" s="9" t="s">
        <v>85</v>
      </c>
      <c r="S37" s="10" t="s">
        <v>399</v>
      </c>
      <c r="T37" s="11" t="s">
        <v>46</v>
      </c>
      <c r="U37" s="5" t="s">
        <v>88</v>
      </c>
      <c r="V37" s="5" t="b">
        <v>1</v>
      </c>
      <c r="W37" s="21" t="s">
        <v>400</v>
      </c>
      <c r="X37" s="6" t="s">
        <v>401</v>
      </c>
      <c r="Y37" s="6"/>
      <c r="Z37" s="5" t="b">
        <v>1</v>
      </c>
      <c r="AA37" s="5" t="b">
        <v>1</v>
      </c>
      <c r="AB37" s="5" t="b">
        <v>1</v>
      </c>
      <c r="AC37" s="5" t="b">
        <v>1</v>
      </c>
      <c r="AD37" s="11" t="s">
        <v>46</v>
      </c>
      <c r="AE37" s="11" t="s">
        <v>402</v>
      </c>
      <c r="AF37" s="13" t="str">
        <f ca="1">IFERROR(__xludf.DUMMYFUNCTION("REGEXREPLACE(REGEXREPLACE(O37, ""[^0-9]"", """"), ""^620"", ""62"")"),"6282296691160")</f>
        <v>6282296691160</v>
      </c>
    </row>
    <row r="38" spans="1:32" ht="75" x14ac:dyDescent="0.2">
      <c r="A38" s="8" t="s">
        <v>403</v>
      </c>
      <c r="B38" s="8"/>
      <c r="C38" s="8" t="s">
        <v>31</v>
      </c>
      <c r="D38" s="8" t="s">
        <v>51</v>
      </c>
      <c r="E38" s="8" t="s">
        <v>404</v>
      </c>
      <c r="F38" s="8" t="s">
        <v>34</v>
      </c>
      <c r="G38" s="8" t="s">
        <v>35</v>
      </c>
      <c r="H38" s="8" t="s">
        <v>36</v>
      </c>
      <c r="I38" s="8" t="s">
        <v>53</v>
      </c>
      <c r="J38" s="8" t="s">
        <v>405</v>
      </c>
      <c r="K38" s="8" t="s">
        <v>39</v>
      </c>
      <c r="L38" s="8" t="s">
        <v>56</v>
      </c>
      <c r="M38" s="8" t="s">
        <v>113</v>
      </c>
      <c r="N38" s="8"/>
      <c r="O38" s="8" t="s">
        <v>406</v>
      </c>
      <c r="P38" s="8" t="s">
        <v>407</v>
      </c>
      <c r="Q38" s="8" t="s">
        <v>408</v>
      </c>
      <c r="R38" s="9" t="s">
        <v>44</v>
      </c>
      <c r="S38" s="10" t="s">
        <v>409</v>
      </c>
      <c r="T38" s="11" t="s">
        <v>46</v>
      </c>
      <c r="U38" s="5" t="s">
        <v>74</v>
      </c>
      <c r="V38" s="5" t="b">
        <v>1</v>
      </c>
      <c r="W38" s="6" t="s">
        <v>410</v>
      </c>
      <c r="X38" s="6" t="s">
        <v>212</v>
      </c>
      <c r="Y38" s="6"/>
      <c r="Z38" s="5" t="b">
        <v>1</v>
      </c>
      <c r="AA38" s="5" t="b">
        <v>1</v>
      </c>
      <c r="AB38" s="5" t="b">
        <v>1</v>
      </c>
      <c r="AC38" s="5" t="b">
        <v>1</v>
      </c>
      <c r="AD38" s="11" t="s">
        <v>46</v>
      </c>
      <c r="AE38" s="5" t="s">
        <v>49</v>
      </c>
      <c r="AF38" s="13" t="str">
        <f ca="1">IFERROR(__xludf.DUMMYFUNCTION("REGEXREPLACE(REGEXREPLACE(O38, ""[^0-9]"", """"), ""^620"", ""62"")"),"6285256319190")</f>
        <v>6285256319190</v>
      </c>
    </row>
    <row r="39" spans="1:32" ht="90" x14ac:dyDescent="0.2">
      <c r="A39" s="8" t="s">
        <v>411</v>
      </c>
      <c r="B39" s="8"/>
      <c r="C39" s="8" t="s">
        <v>31</v>
      </c>
      <c r="D39" s="8" t="s">
        <v>51</v>
      </c>
      <c r="E39" s="8" t="s">
        <v>346</v>
      </c>
      <c r="F39" s="8" t="s">
        <v>34</v>
      </c>
      <c r="G39" s="8" t="s">
        <v>35</v>
      </c>
      <c r="H39" s="8" t="s">
        <v>36</v>
      </c>
      <c r="I39" s="8" t="s">
        <v>242</v>
      </c>
      <c r="J39" s="8" t="s">
        <v>412</v>
      </c>
      <c r="K39" s="8" t="s">
        <v>55</v>
      </c>
      <c r="L39" s="8" t="s">
        <v>40</v>
      </c>
      <c r="M39" s="8" t="s">
        <v>67</v>
      </c>
      <c r="N39" s="8" t="s">
        <v>81</v>
      </c>
      <c r="O39" s="8" t="s">
        <v>413</v>
      </c>
      <c r="P39" s="8" t="s">
        <v>414</v>
      </c>
      <c r="Q39" s="8" t="s">
        <v>415</v>
      </c>
      <c r="R39" s="9" t="s">
        <v>85</v>
      </c>
      <c r="S39" s="10" t="s">
        <v>416</v>
      </c>
      <c r="T39" s="11" t="s">
        <v>417</v>
      </c>
      <c r="U39" s="5" t="s">
        <v>74</v>
      </c>
      <c r="V39" s="5" t="b">
        <v>1</v>
      </c>
      <c r="W39" s="6" t="s">
        <v>418</v>
      </c>
      <c r="X39" s="6" t="s">
        <v>370</v>
      </c>
      <c r="Y39" s="6"/>
      <c r="Z39" s="5" t="b">
        <v>1</v>
      </c>
      <c r="AA39" s="5" t="b">
        <v>1</v>
      </c>
      <c r="AB39" s="5" t="b">
        <v>1</v>
      </c>
      <c r="AC39" s="5" t="b">
        <v>1</v>
      </c>
      <c r="AD39" s="11" t="s">
        <v>419</v>
      </c>
      <c r="AE39" s="5" t="s">
        <v>49</v>
      </c>
      <c r="AF39" s="13" t="str">
        <f ca="1">IFERROR(__xludf.DUMMYFUNCTION("REGEXREPLACE(REGEXREPLACE(O39, ""[^0-9]"", """"), ""^620"", ""62"")"),"6285242598124")</f>
        <v>6285242598124</v>
      </c>
    </row>
    <row r="40" spans="1:32" ht="135" x14ac:dyDescent="0.2">
      <c r="A40" s="8" t="s">
        <v>420</v>
      </c>
      <c r="B40" s="8"/>
      <c r="C40" s="8" t="s">
        <v>31</v>
      </c>
      <c r="D40" s="8" t="s">
        <v>51</v>
      </c>
      <c r="E40" s="8" t="s">
        <v>421</v>
      </c>
      <c r="F40" s="8" t="s">
        <v>34</v>
      </c>
      <c r="G40" s="8" t="s">
        <v>35</v>
      </c>
      <c r="H40" s="8" t="s">
        <v>36</v>
      </c>
      <c r="I40" s="8" t="s">
        <v>37</v>
      </c>
      <c r="J40" s="8" t="s">
        <v>422</v>
      </c>
      <c r="K40" s="8" t="s">
        <v>39</v>
      </c>
      <c r="L40" s="8" t="s">
        <v>40</v>
      </c>
      <c r="M40" s="8" t="s">
        <v>188</v>
      </c>
      <c r="N40" s="8"/>
      <c r="O40" s="8" t="s">
        <v>423</v>
      </c>
      <c r="P40" s="8" t="s">
        <v>424</v>
      </c>
      <c r="Q40" s="8" t="s">
        <v>425</v>
      </c>
      <c r="R40" s="9" t="s">
        <v>44</v>
      </c>
      <c r="S40" s="10" t="s">
        <v>426</v>
      </c>
      <c r="T40" s="11" t="s">
        <v>73</v>
      </c>
      <c r="U40" s="5" t="s">
        <v>74</v>
      </c>
      <c r="V40" s="5" t="b">
        <v>1</v>
      </c>
      <c r="W40" s="6" t="s">
        <v>427</v>
      </c>
      <c r="X40" s="6" t="s">
        <v>428</v>
      </c>
      <c r="Y40" s="6">
        <v>6</v>
      </c>
      <c r="Z40" s="5" t="b">
        <v>1</v>
      </c>
      <c r="AA40" s="5" t="b">
        <v>1</v>
      </c>
      <c r="AB40" s="5" t="b">
        <v>1</v>
      </c>
      <c r="AC40" s="5" t="b">
        <v>1</v>
      </c>
      <c r="AD40" s="11" t="s">
        <v>429</v>
      </c>
      <c r="AE40" s="11" t="s">
        <v>430</v>
      </c>
      <c r="AF40" s="13" t="str">
        <f ca="1">IFERROR(__xludf.DUMMYFUNCTION("REGEXREPLACE(REGEXREPLACE(O40, ""[^0-9]"", """"), ""^620"", ""62"")"),"6281213002229")</f>
        <v>6281213002229</v>
      </c>
    </row>
    <row r="41" spans="1:32" ht="30" x14ac:dyDescent="0.2">
      <c r="A41" s="8" t="s">
        <v>431</v>
      </c>
      <c r="B41" s="8"/>
      <c r="C41" s="8" t="s">
        <v>31</v>
      </c>
      <c r="D41" s="8" t="s">
        <v>155</v>
      </c>
      <c r="E41" s="8" t="s">
        <v>432</v>
      </c>
      <c r="F41" s="8" t="s">
        <v>34</v>
      </c>
      <c r="G41" s="8" t="s">
        <v>35</v>
      </c>
      <c r="H41" s="8" t="s">
        <v>36</v>
      </c>
      <c r="I41" s="8" t="s">
        <v>111</v>
      </c>
      <c r="J41" s="8" t="s">
        <v>433</v>
      </c>
      <c r="K41" s="8" t="s">
        <v>39</v>
      </c>
      <c r="L41" s="8" t="s">
        <v>40</v>
      </c>
      <c r="M41" s="8" t="s">
        <v>113</v>
      </c>
      <c r="N41" s="8"/>
      <c r="O41" s="8" t="s">
        <v>434</v>
      </c>
      <c r="P41" s="8"/>
      <c r="Q41" s="8" t="s">
        <v>435</v>
      </c>
      <c r="R41" s="9" t="s">
        <v>44</v>
      </c>
      <c r="S41" s="10" t="s">
        <v>238</v>
      </c>
      <c r="T41" s="11" t="s">
        <v>46</v>
      </c>
      <c r="U41" s="5" t="s">
        <v>74</v>
      </c>
      <c r="V41" s="5" t="b">
        <v>1</v>
      </c>
      <c r="W41" s="6" t="s">
        <v>436</v>
      </c>
      <c r="X41" s="6" t="s">
        <v>212</v>
      </c>
      <c r="Y41" s="6">
        <v>3</v>
      </c>
      <c r="Z41" s="6" t="s">
        <v>46</v>
      </c>
      <c r="AA41" s="6" t="s">
        <v>46</v>
      </c>
      <c r="AB41" s="5" t="b">
        <v>1</v>
      </c>
      <c r="AC41" s="5" t="b">
        <v>1</v>
      </c>
      <c r="AD41" s="11" t="s">
        <v>46</v>
      </c>
      <c r="AE41" s="5" t="s">
        <v>49</v>
      </c>
      <c r="AF41" s="13" t="str">
        <f ca="1">IFERROR(__xludf.DUMMYFUNCTION("REGEXREPLACE(REGEXREPLACE(O41, ""[^0-9]"", """"), ""^620"", ""62"")"),"6285257821842")</f>
        <v>6285257821842</v>
      </c>
    </row>
  </sheetData>
  <dataValidations count="1">
    <dataValidation type="list" allowBlank="1" showErrorMessage="1" sqref="R2:R41" xr:uid="{C6C5282B-6892-FB4B-B43A-FF3FC7C5557A}">
      <formula1>"Lolos,Tidak,Perlu dicek"</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Gunawan S.ST M.Si</dc:creator>
  <cp:lastModifiedBy>Ahmad Gunawan S.ST M.Si</cp:lastModifiedBy>
  <dcterms:created xsi:type="dcterms:W3CDTF">2025-11-15T13:25:06Z</dcterms:created>
  <dcterms:modified xsi:type="dcterms:W3CDTF">2025-11-15T13:25:21Z</dcterms:modified>
</cp:coreProperties>
</file>